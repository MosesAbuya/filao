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85D5AC3D-F108-42EB-A4B9-05148542FF19}" xr6:coauthVersionLast="47" xr6:coauthVersionMax="47" xr10:uidLastSave="{00000000-0000-0000-0000-000000000000}"/>
  <bookViews>
    <workbookView xWindow="-110" yWindow="-110" windowWidth="19420" windowHeight="11020" firstSheet="6" activeTab="1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" i="2" l="1"/>
  <c r="R19" i="3"/>
  <c r="S19" i="3"/>
  <c r="T19" i="3"/>
  <c r="U19" i="3"/>
  <c r="V19" i="3"/>
  <c r="W19" i="3"/>
  <c r="N22" i="5"/>
  <c r="O22" i="5"/>
  <c r="P22" i="5"/>
  <c r="Q22" i="5"/>
  <c r="R22" i="5"/>
  <c r="S22" i="5"/>
  <c r="N25" i="6"/>
  <c r="O25" i="6"/>
  <c r="P25" i="6"/>
  <c r="Q25" i="6"/>
  <c r="R25" i="6"/>
  <c r="S25" i="6"/>
  <c r="N26" i="7"/>
  <c r="O26" i="7"/>
  <c r="P26" i="7"/>
  <c r="Q26" i="7"/>
  <c r="R26" i="7"/>
  <c r="S26" i="7"/>
  <c r="N24" i="8"/>
  <c r="O24" i="8"/>
  <c r="P24" i="8"/>
  <c r="Q24" i="8"/>
  <c r="R24" i="8"/>
  <c r="S24" i="8"/>
  <c r="S11" i="10"/>
  <c r="AC11" i="6"/>
  <c r="AC13" i="6" s="1"/>
  <c r="AD11" i="6"/>
  <c r="AE11" i="6"/>
  <c r="AE13" i="6" s="1"/>
  <c r="AF11" i="6"/>
  <c r="AF13" i="6" s="1"/>
  <c r="AG11" i="6"/>
  <c r="AG13" i="6" s="1"/>
  <c r="AH11" i="6"/>
  <c r="AH13" i="6" s="1"/>
  <c r="AD13" i="6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P9" i="1"/>
  <c r="Q9" i="1"/>
  <c r="R9" i="1"/>
  <c r="S9" i="1"/>
  <c r="T9" i="1"/>
  <c r="U9" i="1"/>
  <c r="D12" i="12"/>
  <c r="D14" i="12" s="1"/>
  <c r="F16" i="13"/>
  <c r="F18" i="13" s="1"/>
  <c r="G16" i="13"/>
  <c r="G18" i="13" s="1"/>
  <c r="H16" i="13"/>
  <c r="H18" i="13" s="1"/>
  <c r="I16" i="13"/>
  <c r="I18" i="13" s="1"/>
  <c r="J16" i="13"/>
  <c r="J18" i="13" s="1"/>
  <c r="K16" i="13"/>
  <c r="K18" i="13" s="1"/>
  <c r="L16" i="13"/>
  <c r="L18" i="13" s="1"/>
  <c r="M16" i="13"/>
  <c r="M18" i="13" s="1"/>
  <c r="N16" i="13"/>
  <c r="N18" i="13" s="1"/>
  <c r="O16" i="13"/>
  <c r="O18" i="13" s="1"/>
  <c r="P16" i="13"/>
  <c r="P18" i="13" s="1"/>
  <c r="Q16" i="13"/>
  <c r="Q18" i="13" s="1"/>
  <c r="R16" i="13"/>
  <c r="R18" i="13" s="1"/>
  <c r="S16" i="13"/>
  <c r="S18" i="13" s="1"/>
  <c r="T16" i="13"/>
  <c r="T18" i="13" s="1"/>
  <c r="U16" i="13"/>
  <c r="U18" i="13" s="1"/>
  <c r="V16" i="13"/>
  <c r="V18" i="13" s="1"/>
  <c r="W16" i="13"/>
  <c r="W18" i="13" s="1"/>
  <c r="X16" i="13"/>
  <c r="X18" i="13" s="1"/>
  <c r="Y16" i="13"/>
  <c r="Y18" i="13" s="1"/>
  <c r="Z16" i="13"/>
  <c r="Z18" i="13" s="1"/>
  <c r="AA16" i="13"/>
  <c r="AA18" i="13" s="1"/>
  <c r="AB16" i="13"/>
  <c r="AB18" i="13" s="1"/>
  <c r="AC16" i="13"/>
  <c r="AC18" i="13" s="1"/>
  <c r="AD16" i="13"/>
  <c r="AD18" i="13" s="1"/>
  <c r="AE16" i="13"/>
  <c r="AE18" i="13" s="1"/>
  <c r="AF16" i="13"/>
  <c r="AF18" i="13" s="1"/>
  <c r="AG16" i="13"/>
  <c r="AG18" i="13" s="1"/>
  <c r="AH16" i="13"/>
  <c r="AH18" i="13" s="1"/>
  <c r="AI16" i="13"/>
  <c r="AI18" i="13" s="1"/>
  <c r="AJ16" i="13"/>
  <c r="AJ18" i="13" s="1"/>
  <c r="AK16" i="13"/>
  <c r="AK18" i="13" s="1"/>
  <c r="AL16" i="13"/>
  <c r="AL18" i="13" s="1"/>
  <c r="AM16" i="13"/>
  <c r="AM18" i="13" s="1"/>
  <c r="AN16" i="13"/>
  <c r="AN18" i="13" s="1"/>
  <c r="AO16" i="13"/>
  <c r="AO18" i="13" s="1"/>
  <c r="E9" i="2" l="1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D19" i="4" l="1"/>
  <c r="E19" i="4"/>
  <c r="F19" i="4"/>
  <c r="G19" i="4"/>
  <c r="H19" i="4"/>
  <c r="I19" i="4"/>
  <c r="E33" i="13"/>
  <c r="F33" i="13"/>
  <c r="G33" i="13"/>
  <c r="H33" i="13"/>
  <c r="I33" i="13"/>
  <c r="J33" i="13"/>
  <c r="R33" i="13"/>
  <c r="S33" i="13"/>
  <c r="T33" i="13"/>
  <c r="U33" i="13"/>
  <c r="V33" i="13"/>
  <c r="W33" i="13"/>
  <c r="AM12" i="12"/>
  <c r="AM14" i="12" s="1"/>
  <c r="AL12" i="12"/>
  <c r="AL14" i="12" s="1"/>
  <c r="AK12" i="12"/>
  <c r="AK14" i="12" s="1"/>
  <c r="AJ12" i="12"/>
  <c r="AJ14" i="12" s="1"/>
  <c r="AI12" i="12"/>
  <c r="AI14" i="12" s="1"/>
  <c r="AH12" i="12"/>
  <c r="AH14" i="12" s="1"/>
  <c r="AB12" i="12"/>
  <c r="AB14" i="12" s="1"/>
  <c r="AC12" i="12"/>
  <c r="AC14" i="12" s="1"/>
  <c r="AD12" i="12"/>
  <c r="AD14" i="12" s="1"/>
  <c r="AE12" i="12"/>
  <c r="AE14" i="12" s="1"/>
  <c r="AF12" i="12"/>
  <c r="AF14" i="12" s="1"/>
  <c r="AG12" i="12"/>
  <c r="AG14" i="12" s="1"/>
  <c r="P32" i="12"/>
  <c r="Q32" i="12"/>
  <c r="R32" i="12"/>
  <c r="S32" i="12"/>
  <c r="T32" i="12"/>
  <c r="U32" i="12"/>
  <c r="H32" i="12"/>
  <c r="G32" i="12"/>
  <c r="F32" i="12"/>
  <c r="E32" i="12"/>
  <c r="D32" i="12"/>
  <c r="C32" i="12"/>
  <c r="AA12" i="12"/>
  <c r="AA14" i="12" s="1"/>
  <c r="Z12" i="12"/>
  <c r="Z14" i="12" s="1"/>
  <c r="Y12" i="12"/>
  <c r="Y14" i="12" s="1"/>
  <c r="X12" i="12"/>
  <c r="X14" i="12" s="1"/>
  <c r="W12" i="12"/>
  <c r="W14" i="12" s="1"/>
  <c r="V12" i="12"/>
  <c r="V14" i="12" s="1"/>
  <c r="U12" i="12"/>
  <c r="U14" i="12" s="1"/>
  <c r="T12" i="12"/>
  <c r="T14" i="12" s="1"/>
  <c r="S12" i="12"/>
  <c r="S14" i="12" s="1"/>
  <c r="R12" i="12"/>
  <c r="R14" i="12" s="1"/>
  <c r="Q12" i="12"/>
  <c r="Q14" i="12" s="1"/>
  <c r="P12" i="12"/>
  <c r="P14" i="12" s="1"/>
  <c r="O12" i="12"/>
  <c r="O14" i="12" s="1"/>
  <c r="N12" i="12"/>
  <c r="N14" i="12" s="1"/>
  <c r="M12" i="12"/>
  <c r="M14" i="12" s="1"/>
  <c r="L12" i="12"/>
  <c r="L14" i="12" s="1"/>
  <c r="K12" i="12"/>
  <c r="K14" i="12" s="1"/>
  <c r="J12" i="12"/>
  <c r="J14" i="12" s="1"/>
  <c r="I12" i="12"/>
  <c r="I14" i="12" s="1"/>
  <c r="H12" i="12"/>
  <c r="H14" i="12" s="1"/>
  <c r="G12" i="12"/>
  <c r="G14" i="12" s="1"/>
  <c r="F12" i="12"/>
  <c r="F14" i="12" s="1"/>
  <c r="E12" i="12"/>
  <c r="E14" i="12" s="1"/>
  <c r="N27" i="11"/>
  <c r="O27" i="11"/>
  <c r="P27" i="11"/>
  <c r="Q27" i="11"/>
  <c r="R27" i="11"/>
  <c r="S27" i="11"/>
  <c r="D27" i="11"/>
  <c r="E27" i="11"/>
  <c r="F27" i="11"/>
  <c r="G27" i="11"/>
  <c r="H27" i="11"/>
  <c r="I27" i="11"/>
  <c r="F12" i="11"/>
  <c r="F14" i="11" s="1"/>
  <c r="G12" i="11"/>
  <c r="G14" i="11" s="1"/>
  <c r="H12" i="11"/>
  <c r="H14" i="11" s="1"/>
  <c r="I12" i="11"/>
  <c r="I14" i="11" s="1"/>
  <c r="J12" i="11"/>
  <c r="J14" i="11" s="1"/>
  <c r="K12" i="11"/>
  <c r="K14" i="11" s="1"/>
  <c r="L12" i="11"/>
  <c r="L14" i="11" s="1"/>
  <c r="M12" i="11"/>
  <c r="M14" i="11" s="1"/>
  <c r="N12" i="11"/>
  <c r="N14" i="11" s="1"/>
  <c r="O12" i="11"/>
  <c r="O14" i="11" s="1"/>
  <c r="P12" i="11"/>
  <c r="P14" i="11" s="1"/>
  <c r="Q12" i="11"/>
  <c r="Q14" i="11" s="1"/>
  <c r="R12" i="11"/>
  <c r="R14" i="11" s="1"/>
  <c r="S12" i="11"/>
  <c r="S14" i="11" s="1"/>
  <c r="T12" i="11"/>
  <c r="T14" i="11" s="1"/>
  <c r="U12" i="11"/>
  <c r="U14" i="11" s="1"/>
  <c r="V12" i="11"/>
  <c r="V14" i="11" s="1"/>
  <c r="W12" i="11"/>
  <c r="W14" i="11" s="1"/>
  <c r="X12" i="11"/>
  <c r="X14" i="11" s="1"/>
  <c r="Y12" i="11"/>
  <c r="Y14" i="11" s="1"/>
  <c r="Z12" i="11"/>
  <c r="Z14" i="11" s="1"/>
  <c r="AA12" i="11"/>
  <c r="AA14" i="11" s="1"/>
  <c r="AB12" i="11"/>
  <c r="AC12" i="11"/>
  <c r="AC14" i="11" s="1"/>
  <c r="AD12" i="11"/>
  <c r="AD14" i="11" s="1"/>
  <c r="AE12" i="11"/>
  <c r="AE14" i="11" s="1"/>
  <c r="AF12" i="11"/>
  <c r="AF14" i="11" s="1"/>
  <c r="AG12" i="11"/>
  <c r="AG14" i="11" s="1"/>
  <c r="AH12" i="11"/>
  <c r="AH14" i="11" s="1"/>
  <c r="AI12" i="11"/>
  <c r="AI14" i="11" s="1"/>
  <c r="AJ12" i="11"/>
  <c r="AJ14" i="11" s="1"/>
  <c r="AK12" i="11"/>
  <c r="AK14" i="11" s="1"/>
  <c r="AL12" i="11"/>
  <c r="AL14" i="11" s="1"/>
  <c r="AM12" i="11"/>
  <c r="AM14" i="11" s="1"/>
  <c r="AN12" i="11"/>
  <c r="AN14" i="11" s="1"/>
  <c r="AB14" i="11"/>
  <c r="D27" i="10"/>
  <c r="E27" i="10"/>
  <c r="F27" i="10"/>
  <c r="G27" i="10"/>
  <c r="H27" i="10"/>
  <c r="I27" i="10"/>
  <c r="E11" i="10"/>
  <c r="E13" i="10" s="1"/>
  <c r="F11" i="10"/>
  <c r="F13" i="10" s="1"/>
  <c r="G11" i="10"/>
  <c r="G13" i="10" s="1"/>
  <c r="H11" i="10"/>
  <c r="H13" i="10" s="1"/>
  <c r="I11" i="10"/>
  <c r="I13" i="10" s="1"/>
  <c r="J11" i="10"/>
  <c r="J13" i="10" s="1"/>
  <c r="K11" i="10"/>
  <c r="K13" i="10" s="1"/>
  <c r="L11" i="10"/>
  <c r="L13" i="10" s="1"/>
  <c r="M11" i="10"/>
  <c r="M13" i="10" s="1"/>
  <c r="N11" i="10"/>
  <c r="N13" i="10" s="1"/>
  <c r="O11" i="10"/>
  <c r="O13" i="10" s="1"/>
  <c r="P11" i="10"/>
  <c r="P13" i="10" s="1"/>
  <c r="Q11" i="10"/>
  <c r="Q13" i="10" s="1"/>
  <c r="R11" i="10"/>
  <c r="R13" i="10" s="1"/>
  <c r="S13" i="10"/>
  <c r="T11" i="10"/>
  <c r="T13" i="10" s="1"/>
  <c r="U11" i="10"/>
  <c r="U13" i="10" s="1"/>
  <c r="V11" i="10"/>
  <c r="V13" i="10" s="1"/>
  <c r="W11" i="10"/>
  <c r="W13" i="10" s="1"/>
  <c r="X11" i="10"/>
  <c r="X13" i="10" s="1"/>
  <c r="Y11" i="10"/>
  <c r="Y13" i="10" s="1"/>
  <c r="Z11" i="10"/>
  <c r="Z13" i="10" s="1"/>
  <c r="AA11" i="10"/>
  <c r="AA13" i="10" s="1"/>
  <c r="AB11" i="10"/>
  <c r="AB13" i="10" s="1"/>
  <c r="AC11" i="10"/>
  <c r="AC13" i="10" s="1"/>
  <c r="AD11" i="10"/>
  <c r="AD13" i="10" s="1"/>
  <c r="AE11" i="10"/>
  <c r="AE13" i="10" s="1"/>
  <c r="AF11" i="10"/>
  <c r="AF13" i="10" s="1"/>
  <c r="AG11" i="10"/>
  <c r="AG13" i="10" s="1"/>
  <c r="AH11" i="10"/>
  <c r="AH13" i="10" s="1"/>
  <c r="E9" i="1"/>
  <c r="F9" i="1"/>
  <c r="G9" i="1"/>
  <c r="H9" i="1"/>
  <c r="I9" i="1"/>
  <c r="J9" i="1"/>
  <c r="K9" i="1"/>
  <c r="L9" i="1"/>
  <c r="M9" i="1"/>
  <c r="N9" i="1"/>
  <c r="O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E18" i="1"/>
  <c r="F18" i="1"/>
  <c r="G18" i="1"/>
  <c r="H18" i="1"/>
  <c r="I18" i="1"/>
  <c r="C25" i="9"/>
  <c r="D25" i="9"/>
  <c r="E25" i="9"/>
  <c r="F25" i="9"/>
  <c r="G25" i="9"/>
  <c r="H25" i="9"/>
  <c r="AM10" i="9"/>
  <c r="AM12" i="9" s="1"/>
  <c r="AL10" i="9"/>
  <c r="AL12" i="9" s="1"/>
  <c r="AK10" i="9"/>
  <c r="AK12" i="9" s="1"/>
  <c r="AJ10" i="9"/>
  <c r="AJ12" i="9" s="1"/>
  <c r="AI10" i="9"/>
  <c r="AI12" i="9" s="1"/>
  <c r="AH10" i="9"/>
  <c r="AH12" i="9" s="1"/>
  <c r="AG10" i="9"/>
  <c r="AG12" i="9" s="1"/>
  <c r="AF10" i="9"/>
  <c r="AF12" i="9" s="1"/>
  <c r="AE10" i="9"/>
  <c r="AE12" i="9" s="1"/>
  <c r="AD10" i="9"/>
  <c r="AD12" i="9" s="1"/>
  <c r="AC10" i="9"/>
  <c r="AC12" i="9" s="1"/>
  <c r="AB10" i="9"/>
  <c r="AB12" i="9" s="1"/>
  <c r="AA10" i="9"/>
  <c r="AA12" i="9" s="1"/>
  <c r="Z10" i="9"/>
  <c r="Z12" i="9" s="1"/>
  <c r="Y10" i="9"/>
  <c r="Y12" i="9" s="1"/>
  <c r="X10" i="9"/>
  <c r="X12" i="9" s="1"/>
  <c r="W10" i="9"/>
  <c r="W12" i="9" s="1"/>
  <c r="V10" i="9"/>
  <c r="V12" i="9" s="1"/>
  <c r="U10" i="9"/>
  <c r="U12" i="9" s="1"/>
  <c r="T10" i="9"/>
  <c r="T12" i="9" s="1"/>
  <c r="S10" i="9"/>
  <c r="S12" i="9" s="1"/>
  <c r="R10" i="9"/>
  <c r="R12" i="9" s="1"/>
  <c r="Q10" i="9"/>
  <c r="Q12" i="9" s="1"/>
  <c r="P10" i="9"/>
  <c r="P12" i="9" s="1"/>
  <c r="O10" i="9"/>
  <c r="O12" i="9" s="1"/>
  <c r="N10" i="9"/>
  <c r="N12" i="9" s="1"/>
  <c r="M10" i="9"/>
  <c r="M12" i="9" s="1"/>
  <c r="L10" i="9"/>
  <c r="L12" i="9" s="1"/>
  <c r="K10" i="9"/>
  <c r="K12" i="9" s="1"/>
  <c r="J10" i="9"/>
  <c r="J12" i="9" s="1"/>
  <c r="I10" i="9"/>
  <c r="I12" i="9" s="1"/>
  <c r="H10" i="9"/>
  <c r="H12" i="9" s="1"/>
  <c r="G10" i="9"/>
  <c r="G12" i="9" s="1"/>
  <c r="F10" i="9"/>
  <c r="F12" i="9" s="1"/>
  <c r="E10" i="9"/>
  <c r="E12" i="9" s="1"/>
  <c r="D10" i="9"/>
  <c r="D12" i="9" s="1"/>
  <c r="D23" i="8"/>
  <c r="E23" i="8"/>
  <c r="F23" i="8"/>
  <c r="G23" i="8"/>
  <c r="H23" i="8"/>
  <c r="I23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26" i="7"/>
  <c r="E26" i="7"/>
  <c r="F26" i="7"/>
  <c r="G26" i="7"/>
  <c r="H26" i="7"/>
  <c r="I26" i="7"/>
  <c r="E11" i="7"/>
  <c r="E13" i="7" s="1"/>
  <c r="F11" i="7"/>
  <c r="F13" i="7" s="1"/>
  <c r="G11" i="7"/>
  <c r="H11" i="7"/>
  <c r="H13" i="7" s="1"/>
  <c r="I11" i="7"/>
  <c r="I13" i="7" s="1"/>
  <c r="J11" i="7"/>
  <c r="J13" i="7" s="1"/>
  <c r="K11" i="7"/>
  <c r="K13" i="7" s="1"/>
  <c r="L11" i="7"/>
  <c r="L13" i="7" s="1"/>
  <c r="M11" i="7"/>
  <c r="M13" i="7" s="1"/>
  <c r="N11" i="7"/>
  <c r="O11" i="7"/>
  <c r="O13" i="7" s="1"/>
  <c r="P11" i="7"/>
  <c r="P13" i="7" s="1"/>
  <c r="Q11" i="7"/>
  <c r="Q13" i="7" s="1"/>
  <c r="R11" i="7"/>
  <c r="R13" i="7" s="1"/>
  <c r="S11" i="7"/>
  <c r="S13" i="7" s="1"/>
  <c r="T11" i="7"/>
  <c r="T13" i="7" s="1"/>
  <c r="U11" i="7"/>
  <c r="U13" i="7" s="1"/>
  <c r="V11" i="7"/>
  <c r="V13" i="7" s="1"/>
  <c r="W11" i="7"/>
  <c r="W13" i="7" s="1"/>
  <c r="X11" i="7"/>
  <c r="X13" i="7" s="1"/>
  <c r="Y11" i="7"/>
  <c r="Y13" i="7" s="1"/>
  <c r="Z11" i="7"/>
  <c r="Z13" i="7" s="1"/>
  <c r="AA11" i="7"/>
  <c r="AA13" i="7" s="1"/>
  <c r="AB11" i="7"/>
  <c r="AB13" i="7" s="1"/>
  <c r="AC11" i="7"/>
  <c r="AC13" i="7" s="1"/>
  <c r="AD11" i="7"/>
  <c r="AD13" i="7" s="1"/>
  <c r="AE11" i="7"/>
  <c r="AE13" i="7" s="1"/>
  <c r="AF11" i="7"/>
  <c r="AF13" i="7" s="1"/>
  <c r="AG11" i="7"/>
  <c r="AG13" i="7" s="1"/>
  <c r="AH11" i="7"/>
  <c r="AH13" i="7" s="1"/>
  <c r="AI11" i="7"/>
  <c r="AI13" i="7" s="1"/>
  <c r="AJ11" i="7"/>
  <c r="AJ13" i="7" s="1"/>
  <c r="AK11" i="7"/>
  <c r="AK13" i="7" s="1"/>
  <c r="AL11" i="7"/>
  <c r="AL13" i="7" s="1"/>
  <c r="AM11" i="7"/>
  <c r="AM13" i="7" s="1"/>
  <c r="AN11" i="7"/>
  <c r="AN13" i="7" s="1"/>
  <c r="N13" i="7"/>
  <c r="G13" i="7"/>
  <c r="E11" i="6"/>
  <c r="E13" i="6" s="1"/>
  <c r="F11" i="6"/>
  <c r="G11" i="6"/>
  <c r="H11" i="6"/>
  <c r="H13" i="6" s="1"/>
  <c r="I11" i="6"/>
  <c r="I13" i="6" s="1"/>
  <c r="J11" i="6"/>
  <c r="K11" i="6"/>
  <c r="K13" i="6" s="1"/>
  <c r="L11" i="6"/>
  <c r="L13" i="6" s="1"/>
  <c r="M11" i="6"/>
  <c r="M13" i="6" s="1"/>
  <c r="N11" i="6"/>
  <c r="N13" i="6" s="1"/>
  <c r="O11" i="6"/>
  <c r="O13" i="6" s="1"/>
  <c r="P11" i="6"/>
  <c r="P13" i="6" s="1"/>
  <c r="Q11" i="6"/>
  <c r="Q13" i="6" s="1"/>
  <c r="R11" i="6"/>
  <c r="R13" i="6" s="1"/>
  <c r="S11" i="6"/>
  <c r="S13" i="6" s="1"/>
  <c r="T11" i="6"/>
  <c r="T13" i="6" s="1"/>
  <c r="U11" i="6"/>
  <c r="U13" i="6" s="1"/>
  <c r="V11" i="6"/>
  <c r="V13" i="6" s="1"/>
  <c r="W11" i="6"/>
  <c r="W13" i="6" s="1"/>
  <c r="X11" i="6"/>
  <c r="X13" i="6" s="1"/>
  <c r="Y11" i="6"/>
  <c r="Y13" i="6" s="1"/>
  <c r="Z11" i="6"/>
  <c r="Z13" i="6" s="1"/>
  <c r="AA11" i="6"/>
  <c r="AA13" i="6" s="1"/>
  <c r="AB11" i="6"/>
  <c r="AB13" i="6" s="1"/>
  <c r="AI11" i="6"/>
  <c r="AJ11" i="6"/>
  <c r="AJ13" i="6" s="1"/>
  <c r="AK11" i="6"/>
  <c r="AK13" i="6" s="1"/>
  <c r="AL11" i="6"/>
  <c r="AM11" i="6"/>
  <c r="AM13" i="6" s="1"/>
  <c r="AN11" i="6"/>
  <c r="AN13" i="6" s="1"/>
  <c r="D24" i="6"/>
  <c r="E24" i="6"/>
  <c r="F24" i="6"/>
  <c r="G24" i="6"/>
  <c r="H24" i="6"/>
  <c r="I24" i="6"/>
  <c r="AL13" i="6"/>
  <c r="AI13" i="6"/>
  <c r="J13" i="6"/>
  <c r="G13" i="6"/>
  <c r="F13" i="6"/>
  <c r="D22" i="5"/>
  <c r="E22" i="5"/>
  <c r="F22" i="5"/>
  <c r="G22" i="5"/>
  <c r="H22" i="5"/>
  <c r="I22" i="5"/>
  <c r="AN9" i="5"/>
  <c r="AN11" i="5" s="1"/>
  <c r="AM9" i="5"/>
  <c r="AM11" i="5" s="1"/>
  <c r="AL9" i="5"/>
  <c r="AL11" i="5" s="1"/>
  <c r="AK9" i="5"/>
  <c r="AK11" i="5" s="1"/>
  <c r="AJ9" i="5"/>
  <c r="AJ11" i="5" s="1"/>
  <c r="AI9" i="5"/>
  <c r="AI11" i="5" s="1"/>
  <c r="AH9" i="5"/>
  <c r="AH11" i="5" s="1"/>
  <c r="AG9" i="5"/>
  <c r="AG11" i="5" s="1"/>
  <c r="AF9" i="5"/>
  <c r="AF11" i="5" s="1"/>
  <c r="AE9" i="5"/>
  <c r="AE11" i="5" s="1"/>
  <c r="AD9" i="5"/>
  <c r="AD11" i="5" s="1"/>
  <c r="AC9" i="5"/>
  <c r="AC11" i="5" s="1"/>
  <c r="AB9" i="5"/>
  <c r="AB11" i="5" s="1"/>
  <c r="AA9" i="5"/>
  <c r="AA11" i="5" s="1"/>
  <c r="Z9" i="5"/>
  <c r="Z11" i="5" s="1"/>
  <c r="Y9" i="5"/>
  <c r="Y11" i="5" s="1"/>
  <c r="X9" i="5"/>
  <c r="X11" i="5" s="1"/>
  <c r="W9" i="5"/>
  <c r="W11" i="5" s="1"/>
  <c r="V9" i="5"/>
  <c r="V11" i="5" s="1"/>
  <c r="U9" i="5"/>
  <c r="U11" i="5" s="1"/>
  <c r="T9" i="5"/>
  <c r="T11" i="5" s="1"/>
  <c r="S9" i="5"/>
  <c r="S11" i="5" s="1"/>
  <c r="R9" i="5"/>
  <c r="R11" i="5" s="1"/>
  <c r="Q9" i="5"/>
  <c r="Q11" i="5" s="1"/>
  <c r="P9" i="5"/>
  <c r="P11" i="5" s="1"/>
  <c r="O9" i="5"/>
  <c r="O11" i="5" s="1"/>
  <c r="N9" i="5"/>
  <c r="N11" i="5" s="1"/>
  <c r="M9" i="5"/>
  <c r="M11" i="5" s="1"/>
  <c r="L9" i="5"/>
  <c r="L11" i="5" s="1"/>
  <c r="K9" i="5"/>
  <c r="K11" i="5" s="1"/>
  <c r="J9" i="5"/>
  <c r="J11" i="5" s="1"/>
  <c r="I9" i="5"/>
  <c r="I11" i="5" s="1"/>
  <c r="H9" i="5"/>
  <c r="H11" i="5" s="1"/>
  <c r="G9" i="5"/>
  <c r="G11" i="5" s="1"/>
  <c r="F9" i="5"/>
  <c r="F11" i="5" s="1"/>
  <c r="E9" i="5"/>
  <c r="E11" i="5" s="1"/>
  <c r="AC10" i="4"/>
  <c r="AH10" i="4"/>
  <c r="AG10" i="4"/>
  <c r="AF10" i="4"/>
  <c r="AE10" i="4"/>
  <c r="AD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J19" i="3"/>
  <c r="I19" i="3"/>
  <c r="H19" i="3"/>
  <c r="G19" i="3"/>
  <c r="F19" i="3"/>
  <c r="E19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V19" i="2"/>
  <c r="U19" i="2"/>
  <c r="T19" i="2"/>
  <c r="S19" i="2"/>
  <c r="R19" i="2"/>
  <c r="I19" i="2"/>
  <c r="H19" i="2"/>
  <c r="G19" i="2"/>
  <c r="F19" i="2"/>
  <c r="E19" i="2"/>
  <c r="D19" i="2"/>
  <c r="D18" i="1"/>
  <c r="E12" i="11" l="1"/>
  <c r="E14" i="11" s="1"/>
</calcChain>
</file>

<file path=xl/sharedStrings.xml><?xml version="1.0" encoding="utf-8"?>
<sst xmlns="http://schemas.openxmlformats.org/spreadsheetml/2006/main" count="559" uniqueCount="164">
  <si>
    <t>05th January to 31st March 2025</t>
  </si>
  <si>
    <t>1st April to 31st May 2025</t>
  </si>
  <si>
    <t>01st June to 31st September 2025</t>
  </si>
  <si>
    <t>1st Oct  to 19th Dec 2025</t>
  </si>
  <si>
    <t>20th December to 04th January 2026</t>
  </si>
  <si>
    <r>
      <t xml:space="preserve">( High </t>
    </r>
    <r>
      <rPr>
        <b/>
        <sz val="11"/>
        <color theme="1"/>
        <rFont val="Calibri"/>
        <family val="2"/>
        <scheme val="minor"/>
      </rPr>
      <t>Season</t>
    </r>
    <r>
      <rPr>
        <sz val="11"/>
        <color theme="1"/>
        <rFont val="Calibri"/>
        <family val="2"/>
        <scheme val="minor"/>
      </rPr>
      <t>)</t>
    </r>
  </si>
  <si>
    <r>
      <t xml:space="preserve">( </t>
    </r>
    <r>
      <rPr>
        <b/>
        <sz val="11"/>
        <color theme="1"/>
        <rFont val="Calibri"/>
        <family val="2"/>
        <scheme val="minor"/>
      </rPr>
      <t>Low Season</t>
    </r>
    <r>
      <rPr>
        <sz val="11"/>
        <color theme="1"/>
        <rFont val="Calibri"/>
        <family val="2"/>
        <scheme val="minor"/>
      </rPr>
      <t>)</t>
    </r>
  </si>
  <si>
    <r>
      <t>(</t>
    </r>
    <r>
      <rPr>
        <b/>
        <sz val="11"/>
        <color theme="1"/>
        <rFont val="Calibri"/>
        <family val="2"/>
        <scheme val="minor"/>
      </rPr>
      <t>Peak Season</t>
    </r>
    <r>
      <rPr>
        <sz val="11"/>
        <color theme="1"/>
        <rFont val="Calibri"/>
        <family val="2"/>
        <scheme val="minor"/>
      </rPr>
      <t>)</t>
    </r>
  </si>
  <si>
    <r>
      <t>( Shoulder</t>
    </r>
    <r>
      <rPr>
        <b/>
        <sz val="11"/>
        <color theme="1"/>
        <rFont val="Calibri"/>
        <family val="2"/>
        <scheme val="minor"/>
      </rPr>
      <t xml:space="preserve"> Season</t>
    </r>
    <r>
      <rPr>
        <sz val="11"/>
        <color theme="1"/>
        <rFont val="Calibri"/>
        <family val="2"/>
        <scheme val="minor"/>
      </rPr>
      <t>)</t>
    </r>
  </si>
  <si>
    <t>Festive Season</t>
  </si>
  <si>
    <t>SN</t>
  </si>
  <si>
    <t>Hotel</t>
  </si>
  <si>
    <t>No of nights</t>
  </si>
  <si>
    <t>Kibo Safari Camp</t>
  </si>
  <si>
    <t>Total</t>
  </si>
  <si>
    <t>Total Transport + Activities</t>
  </si>
  <si>
    <t>Activities + Transport</t>
  </si>
  <si>
    <t>January to June</t>
  </si>
  <si>
    <t>July to December</t>
  </si>
  <si>
    <t>Activities</t>
  </si>
  <si>
    <t>Amboseli P.F. 1 Day</t>
  </si>
  <si>
    <t xml:space="preserve">Landcruiser 2 Days </t>
  </si>
  <si>
    <t xml:space="preserve">Masai Village </t>
  </si>
  <si>
    <t>2-Day Amboseli National Park</t>
  </si>
  <si>
    <t>22th December to 04th January 2026</t>
  </si>
  <si>
    <t>1st Oct  to 22th Dec 2025</t>
  </si>
  <si>
    <t>v</t>
  </si>
  <si>
    <t>1st April to 31st June 2025</t>
  </si>
  <si>
    <t>01st July  to 31st September 2025</t>
  </si>
  <si>
    <t xml:space="preserve">Zebra Plains </t>
  </si>
  <si>
    <t>Masai Mara Fees Day</t>
  </si>
  <si>
    <t xml:space="preserve">Park Fees </t>
  </si>
  <si>
    <t xml:space="preserve">Landcruiser 3 Days </t>
  </si>
  <si>
    <t>Trans 3Days</t>
  </si>
  <si>
    <t>Masai V.</t>
  </si>
  <si>
    <t>Walking Safari</t>
  </si>
  <si>
    <t>W.Safari</t>
  </si>
  <si>
    <t>1st Oct  to 122th Dec 2025</t>
  </si>
  <si>
    <t>3-Day Masai Mara Luxury</t>
  </si>
  <si>
    <t>Entim Mara</t>
  </si>
  <si>
    <t>1st April to May 2025</t>
  </si>
  <si>
    <t>01st June  to 31st Oct 2025</t>
  </si>
  <si>
    <t>1st Nov  to 19 Dec 2025</t>
  </si>
  <si>
    <t>3-Day Amboseli National Park Balloon Safari</t>
  </si>
  <si>
    <t>Balloon Safari</t>
  </si>
  <si>
    <t>1st April to 31st  May  2025</t>
  </si>
  <si>
    <t>1st  -  31 June  2025</t>
  </si>
  <si>
    <t>01st July  to 31st October 2025</t>
  </si>
  <si>
    <t>22nd December to 04th January 2026</t>
  </si>
  <si>
    <t>High</t>
  </si>
  <si>
    <t xml:space="preserve">Lake Naivasha Sopa </t>
  </si>
  <si>
    <t xml:space="preserve">Mara Maisha </t>
  </si>
  <si>
    <t>Total Accommodation</t>
  </si>
  <si>
    <t xml:space="preserve">Totals </t>
  </si>
  <si>
    <t>`</t>
  </si>
  <si>
    <t xml:space="preserve">Landcruiser 4 Days </t>
  </si>
  <si>
    <t xml:space="preserve">Boat Ride </t>
  </si>
  <si>
    <t xml:space="preserve">Crescent </t>
  </si>
  <si>
    <t xml:space="preserve">Lunch Narok </t>
  </si>
  <si>
    <t>Lunch</t>
  </si>
  <si>
    <t>4-Day  LakeNakuru &amp; Masai Mara</t>
  </si>
  <si>
    <t xml:space="preserve">Lake Nakuru Sopa </t>
  </si>
  <si>
    <t>23nd December to 04th January 2026</t>
  </si>
  <si>
    <t>L. Nakuru Park</t>
  </si>
  <si>
    <t xml:space="preserve">L. Nakuru </t>
  </si>
  <si>
    <t>July  to Dec</t>
  </si>
  <si>
    <t xml:space="preserve">5-Day  Amboseli, Nakuru &amp; Mara  Luxury Safari </t>
  </si>
  <si>
    <t>1st June to 31st June 2025</t>
  </si>
  <si>
    <t>01st July  to 31st September  2025</t>
  </si>
  <si>
    <t>Sarova LionHill</t>
  </si>
  <si>
    <t>Park Fee Amboseli</t>
  </si>
  <si>
    <t>L.Nakuru p.f</t>
  </si>
  <si>
    <t xml:space="preserve">Amboseli </t>
  </si>
  <si>
    <t>Nakuru P.F</t>
  </si>
  <si>
    <t>Trans 4Days</t>
  </si>
  <si>
    <t xml:space="preserve">Lunch </t>
  </si>
  <si>
    <t xml:space="preserve">lunch </t>
  </si>
  <si>
    <t>Kibo</t>
  </si>
  <si>
    <t>Nakuru Sopa</t>
  </si>
  <si>
    <t>Zebra Plains</t>
  </si>
  <si>
    <t xml:space="preserve">Landcruiser 5 Days </t>
  </si>
  <si>
    <t>5-Day Lake Naivasha, Lake Nakuru &amp; Mara</t>
  </si>
  <si>
    <t>L. Nakuru Sopa</t>
  </si>
  <si>
    <t>1st November  to 20th  Dec 2025</t>
  </si>
  <si>
    <t>Nakuru fees</t>
  </si>
  <si>
    <t xml:space="preserve">Nakuru Fee </t>
  </si>
  <si>
    <t>July -dec</t>
  </si>
  <si>
    <t>6-Day Amboseli Nakuru &amp; Mara Luxury</t>
  </si>
  <si>
    <t xml:space="preserve">Landcruiser 6 Days </t>
  </si>
  <si>
    <t>Sarova Mara</t>
  </si>
  <si>
    <t>1st Oct  to 22nd Dec 2025</t>
  </si>
  <si>
    <t xml:space="preserve">Landcruiser 7 Days </t>
  </si>
  <si>
    <t>Boat Ride</t>
  </si>
  <si>
    <t>Boat</t>
  </si>
  <si>
    <t>Crescent</t>
  </si>
  <si>
    <t>7-Day Amboseli, Naivasha,  Nakuru &amp;  Mara</t>
  </si>
  <si>
    <t>Sawela Lodges</t>
  </si>
  <si>
    <t>Maisha Mara</t>
  </si>
  <si>
    <t>Trans 7Days</t>
  </si>
  <si>
    <t xml:space="preserve">6-Day Amboseli T.West , T East &amp; Beach Holiday </t>
  </si>
  <si>
    <t>05th January to 31st April 2025</t>
  </si>
  <si>
    <t xml:space="preserve">Ashnil </t>
  </si>
  <si>
    <t>Diani Sea Resort</t>
  </si>
  <si>
    <t xml:space="preserve"> TOTAL</t>
  </si>
  <si>
    <t>Amboseli P.F. 2 Day</t>
  </si>
  <si>
    <t xml:space="preserve"> </t>
  </si>
  <si>
    <t>Tsavo East Fee</t>
  </si>
  <si>
    <t xml:space="preserve">Tranfer in Diani </t>
  </si>
  <si>
    <t>flight from MBA to NRB</t>
  </si>
  <si>
    <t>Lunch Mombasa</t>
  </si>
  <si>
    <t>SGR</t>
  </si>
  <si>
    <t>Baobab</t>
  </si>
  <si>
    <t>Kilanguni  Serena</t>
  </si>
  <si>
    <t>Tsavo West</t>
  </si>
  <si>
    <t>Transfer from Mombasa</t>
  </si>
  <si>
    <t xml:space="preserve">Sweetwaters </t>
  </si>
  <si>
    <t xml:space="preserve">Olpejeta </t>
  </si>
  <si>
    <t>Olpejeta</t>
  </si>
  <si>
    <t xml:space="preserve">Mara Fees </t>
  </si>
  <si>
    <t>W. Rhino</t>
  </si>
  <si>
    <t>N.W Rhino</t>
  </si>
  <si>
    <t>W. Safari</t>
  </si>
  <si>
    <t>Sarova Shaba</t>
  </si>
  <si>
    <t xml:space="preserve">Shaba  N R 2 Days </t>
  </si>
  <si>
    <t>Shaba N R</t>
  </si>
  <si>
    <t>11-Day Game Safari &amp; Beach Combo</t>
  </si>
  <si>
    <t>Naivasha Sopa</t>
  </si>
  <si>
    <t>Kibo Camp</t>
  </si>
  <si>
    <t xml:space="preserve">Zebra plains </t>
  </si>
  <si>
    <t>Masai Mara 2 days</t>
  </si>
  <si>
    <t>lake Nakuru PF</t>
  </si>
  <si>
    <t>01st June to June 2025</t>
  </si>
  <si>
    <t>High Season</t>
  </si>
  <si>
    <t>Kisite Marine Park</t>
  </si>
  <si>
    <t xml:space="preserve">Festive </t>
  </si>
  <si>
    <t>Shoulder</t>
  </si>
  <si>
    <t xml:space="preserve">Peak </t>
  </si>
  <si>
    <t>8-Day Best Kenya's Adventure</t>
  </si>
  <si>
    <t xml:space="preserve">Nakuru Sopa </t>
  </si>
  <si>
    <t>Salt Lick</t>
  </si>
  <si>
    <t xml:space="preserve">Landcruiser 8 Days </t>
  </si>
  <si>
    <t xml:space="preserve">8-Day Mara, Nakuru &amp; Olpejeta Safari </t>
  </si>
  <si>
    <t xml:space="preserve">Taita Hills </t>
  </si>
  <si>
    <t xml:space="preserve">Masai Mara </t>
  </si>
  <si>
    <t>Lake  Nakuru</t>
  </si>
  <si>
    <t>Boat  Ride</t>
  </si>
  <si>
    <t xml:space="preserve">Crescent  Island </t>
  </si>
  <si>
    <t>Lunch Nairobi</t>
  </si>
  <si>
    <t>Walking Safaris</t>
  </si>
  <si>
    <t>3-Day Masai Mara Budget Safari</t>
  </si>
  <si>
    <t>Ashnil Aruba</t>
  </si>
  <si>
    <t>Number of Nights</t>
  </si>
  <si>
    <t>Total Acc</t>
  </si>
  <si>
    <t>Amboseli Sopa</t>
  </si>
  <si>
    <t>1st Nov  to 22th Dec 2025</t>
  </si>
  <si>
    <t>01st June to 31st OCT 2025</t>
  </si>
  <si>
    <t>01st July  to 31st Oct 2025</t>
  </si>
  <si>
    <t>1st Nov to 22nd  Dec 2025</t>
  </si>
  <si>
    <t>1st Oct to 22nd Dec 2025</t>
  </si>
  <si>
    <t xml:space="preserve">Lunch enroute </t>
  </si>
  <si>
    <t>Lunch Enroute</t>
  </si>
  <si>
    <t xml:space="preserve">lunch enroute </t>
  </si>
  <si>
    <t xml:space="preserve">lunch  enroute </t>
  </si>
  <si>
    <t>lunch Nairobi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</si>
</sst>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497B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0" fillId="6" borderId="1" xfId="0" applyFill="1" applyBorder="1"/>
    <xf numFmtId="0" fontId="1" fillId="0" borderId="1" xfId="0" applyFont="1" applyBorder="1"/>
    <xf numFmtId="0" fontId="0" fillId="7" borderId="1" xfId="0" applyFill="1" applyBorder="1"/>
    <xf numFmtId="0" fontId="2" fillId="0" borderId="1" xfId="0" applyFont="1" applyBorder="1"/>
    <xf numFmtId="0" fontId="2" fillId="0" borderId="0" xfId="0" applyFont="1"/>
    <xf numFmtId="0" fontId="1" fillId="0" borderId="0" xfId="0" applyFont="1"/>
    <xf numFmtId="0" fontId="3" fillId="0" borderId="1" xfId="0" applyFont="1" applyBorder="1"/>
    <xf numFmtId="0" fontId="1" fillId="7" borderId="1" xfId="0" applyFont="1" applyFill="1" applyBorder="1"/>
    <xf numFmtId="0" fontId="0" fillId="6" borderId="4" xfId="0" applyFill="1" applyBorder="1"/>
    <xf numFmtId="0" fontId="0" fillId="2" borderId="4" xfId="0" applyFill="1" applyBorder="1"/>
    <xf numFmtId="0" fontId="0" fillId="7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7" borderId="0" xfId="0" applyFill="1"/>
    <xf numFmtId="0" fontId="0" fillId="8" borderId="0" xfId="0" applyFill="1"/>
    <xf numFmtId="0" fontId="5" fillId="8" borderId="1" xfId="0" applyFont="1" applyFill="1" applyBorder="1"/>
    <xf numFmtId="0" fontId="0" fillId="9" borderId="0" xfId="0" applyFill="1"/>
    <xf numFmtId="0" fontId="1" fillId="0" borderId="3" xfId="0" applyFont="1" applyBorder="1"/>
    <xf numFmtId="0" fontId="0" fillId="0" borderId="3" xfId="0" applyBorder="1"/>
    <xf numFmtId="0" fontId="0" fillId="9" borderId="1" xfId="0" applyFill="1" applyBorder="1"/>
    <xf numFmtId="0" fontId="6" fillId="10" borderId="1" xfId="0" applyFont="1" applyFill="1" applyBorder="1"/>
    <xf numFmtId="0" fontId="7" fillId="0" borderId="0" xfId="0" applyFont="1"/>
    <xf numFmtId="0" fontId="1" fillId="8" borderId="1" xfId="0" applyFont="1" applyFill="1" applyBorder="1"/>
    <xf numFmtId="0" fontId="0" fillId="8" borderId="1" xfId="0" applyFill="1" applyBorder="1"/>
    <xf numFmtId="0" fontId="0" fillId="11" borderId="1" xfId="0" applyFill="1" applyBorder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0" fillId="3" borderId="4" xfId="0" applyFill="1" applyBorder="1"/>
    <xf numFmtId="0" fontId="0" fillId="3" borderId="0" xfId="0" applyFill="1"/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110"/>
  <sheetViews>
    <sheetView workbookViewId="0">
      <selection activeCell="F21" sqref="F21"/>
    </sheetView>
  </sheetViews>
  <sheetFormatPr defaultRowHeight="14.5" x14ac:dyDescent="0.35"/>
  <cols>
    <col min="3" max="3" width="24.7265625" customWidth="1"/>
    <col min="4" max="4" width="13.1796875" customWidth="1"/>
  </cols>
  <sheetData>
    <row r="1" spans="2:34" x14ac:dyDescent="0.35">
      <c r="D1" s="36" t="s">
        <v>23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2:34" x14ac:dyDescent="0.35"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2:34" x14ac:dyDescent="0.35">
      <c r="B3" s="1"/>
      <c r="C3" s="1"/>
      <c r="D3" s="1"/>
      <c r="E3" s="2" t="s">
        <v>0</v>
      </c>
      <c r="F3" s="3"/>
      <c r="G3" s="3"/>
      <c r="H3" s="3"/>
      <c r="I3" s="3"/>
      <c r="J3" s="3"/>
      <c r="K3" s="4" t="s">
        <v>1</v>
      </c>
      <c r="L3" s="5"/>
      <c r="M3" s="5"/>
      <c r="N3" s="5"/>
      <c r="O3" s="5"/>
      <c r="P3" s="5"/>
      <c r="Q3" s="6" t="s">
        <v>2</v>
      </c>
      <c r="R3" s="7"/>
      <c r="S3" s="7"/>
      <c r="T3" s="7"/>
      <c r="U3" s="7"/>
      <c r="V3" s="7"/>
      <c r="W3" s="8" t="s">
        <v>25</v>
      </c>
      <c r="X3" s="9"/>
      <c r="Y3" s="9"/>
      <c r="Z3" s="9"/>
      <c r="AA3" s="9"/>
      <c r="AB3" s="9"/>
      <c r="AC3" s="10" t="s">
        <v>24</v>
      </c>
      <c r="AD3" s="11"/>
      <c r="AE3" s="11"/>
      <c r="AF3" s="11"/>
      <c r="AG3" s="19"/>
      <c r="AH3" s="26"/>
    </row>
    <row r="4" spans="2:34" x14ac:dyDescent="0.35">
      <c r="B4" s="1"/>
      <c r="C4" s="1"/>
      <c r="D4" s="1"/>
      <c r="E4" s="3" t="s">
        <v>5</v>
      </c>
      <c r="F4" s="3"/>
      <c r="G4" s="3"/>
      <c r="H4" s="3"/>
      <c r="I4" s="3"/>
      <c r="J4" s="3"/>
      <c r="K4" s="5" t="s">
        <v>6</v>
      </c>
      <c r="L4" s="5"/>
      <c r="M4" s="5"/>
      <c r="N4" s="5"/>
      <c r="O4" s="5"/>
      <c r="P4" s="5"/>
      <c r="Q4" s="7" t="s">
        <v>7</v>
      </c>
      <c r="R4" s="7"/>
      <c r="S4" s="7"/>
      <c r="T4" s="7"/>
      <c r="U4" s="7"/>
      <c r="V4" s="7"/>
      <c r="W4" s="9" t="s">
        <v>8</v>
      </c>
      <c r="X4" s="9"/>
      <c r="Y4" s="9"/>
      <c r="Z4" s="9"/>
      <c r="AA4" s="9"/>
      <c r="AB4" s="9"/>
      <c r="AC4" s="10" t="s">
        <v>9</v>
      </c>
      <c r="AD4" s="11"/>
      <c r="AE4" s="11"/>
      <c r="AF4" s="11"/>
      <c r="AG4" s="22"/>
      <c r="AH4" s="26"/>
    </row>
    <row r="5" spans="2:34" x14ac:dyDescent="0.35">
      <c r="B5" s="1" t="s">
        <v>10</v>
      </c>
      <c r="C5" s="1" t="s">
        <v>11</v>
      </c>
      <c r="D5" s="1" t="s">
        <v>12</v>
      </c>
      <c r="E5" s="3">
        <v>1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5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7">
        <v>1</v>
      </c>
      <c r="R5" s="7">
        <v>2</v>
      </c>
      <c r="S5" s="7">
        <v>3</v>
      </c>
      <c r="T5" s="7">
        <v>4</v>
      </c>
      <c r="U5" s="7">
        <v>5</v>
      </c>
      <c r="V5" s="7">
        <v>6</v>
      </c>
      <c r="W5" s="9">
        <v>1</v>
      </c>
      <c r="X5" s="9">
        <v>2</v>
      </c>
      <c r="Y5" s="9">
        <v>3</v>
      </c>
      <c r="Z5" s="9">
        <v>4</v>
      </c>
      <c r="AA5" s="9">
        <v>5</v>
      </c>
      <c r="AB5" s="9">
        <v>6</v>
      </c>
      <c r="AC5" s="11">
        <v>1</v>
      </c>
      <c r="AD5" s="11">
        <v>2</v>
      </c>
      <c r="AE5" s="11">
        <v>3</v>
      </c>
      <c r="AF5" s="11">
        <v>4</v>
      </c>
      <c r="AG5" s="11">
        <v>5</v>
      </c>
      <c r="AH5" s="23">
        <v>6</v>
      </c>
    </row>
    <row r="6" spans="2:34" x14ac:dyDescent="0.35">
      <c r="B6" s="1">
        <v>1</v>
      </c>
      <c r="C6" s="1" t="s">
        <v>13</v>
      </c>
      <c r="D6" s="1">
        <v>1</v>
      </c>
      <c r="E6" s="3">
        <v>271</v>
      </c>
      <c r="F6" s="3">
        <v>182</v>
      </c>
      <c r="G6" s="3">
        <v>183</v>
      </c>
      <c r="H6" s="3">
        <v>182</v>
      </c>
      <c r="I6" s="3">
        <v>182</v>
      </c>
      <c r="J6" s="3">
        <v>182</v>
      </c>
      <c r="K6" s="3">
        <v>225</v>
      </c>
      <c r="L6" s="3">
        <v>150</v>
      </c>
      <c r="M6" s="3">
        <v>150</v>
      </c>
      <c r="N6" s="3">
        <v>150</v>
      </c>
      <c r="O6" s="3">
        <v>150</v>
      </c>
      <c r="P6" s="3">
        <v>150</v>
      </c>
      <c r="Q6" s="3">
        <v>345</v>
      </c>
      <c r="R6" s="3">
        <v>233</v>
      </c>
      <c r="S6" s="3">
        <v>234</v>
      </c>
      <c r="T6" s="3">
        <v>233</v>
      </c>
      <c r="U6" s="3">
        <v>234</v>
      </c>
      <c r="V6" s="3">
        <v>233</v>
      </c>
      <c r="W6" s="3">
        <v>271</v>
      </c>
      <c r="X6" s="3">
        <v>182</v>
      </c>
      <c r="Y6" s="3">
        <v>183</v>
      </c>
      <c r="Z6" s="3">
        <v>182</v>
      </c>
      <c r="AA6" s="3">
        <v>182</v>
      </c>
      <c r="AB6" s="3">
        <v>169</v>
      </c>
      <c r="AC6" s="3">
        <v>345</v>
      </c>
      <c r="AD6" s="3">
        <v>233</v>
      </c>
      <c r="AE6" s="3">
        <v>234</v>
      </c>
      <c r="AF6" s="3">
        <v>233</v>
      </c>
      <c r="AG6" s="3">
        <v>234</v>
      </c>
      <c r="AH6" s="20">
        <v>233</v>
      </c>
    </row>
    <row r="7" spans="2:34" x14ac:dyDescent="0.35">
      <c r="B7" s="1"/>
      <c r="C7" s="12" t="s">
        <v>151</v>
      </c>
      <c r="D7" s="1">
        <v>1</v>
      </c>
      <c r="E7" s="3">
        <v>271</v>
      </c>
      <c r="F7" s="3">
        <v>182</v>
      </c>
      <c r="G7" s="3">
        <v>183</v>
      </c>
      <c r="H7" s="3">
        <v>182</v>
      </c>
      <c r="I7" s="3">
        <v>182</v>
      </c>
      <c r="J7" s="3">
        <v>182</v>
      </c>
      <c r="K7" s="3">
        <v>225</v>
      </c>
      <c r="L7" s="3">
        <v>150</v>
      </c>
      <c r="M7" s="3">
        <v>150</v>
      </c>
      <c r="N7" s="3">
        <v>150</v>
      </c>
      <c r="O7" s="3">
        <v>150</v>
      </c>
      <c r="P7" s="3">
        <v>150</v>
      </c>
      <c r="Q7" s="3">
        <v>345</v>
      </c>
      <c r="R7" s="3">
        <v>233</v>
      </c>
      <c r="S7" s="3">
        <v>234</v>
      </c>
      <c r="T7" s="3">
        <v>233</v>
      </c>
      <c r="U7" s="3">
        <v>234</v>
      </c>
      <c r="V7" s="3">
        <v>233</v>
      </c>
      <c r="W7" s="3">
        <v>271</v>
      </c>
      <c r="X7" s="3">
        <v>182</v>
      </c>
      <c r="Y7" s="3">
        <v>183</v>
      </c>
      <c r="Z7" s="3">
        <v>182</v>
      </c>
      <c r="AA7" s="3">
        <v>182</v>
      </c>
      <c r="AB7" s="3">
        <v>169</v>
      </c>
      <c r="AC7" s="3">
        <v>345</v>
      </c>
      <c r="AD7" s="3">
        <v>233</v>
      </c>
      <c r="AE7" s="3">
        <v>234</v>
      </c>
      <c r="AF7" s="3">
        <v>233</v>
      </c>
      <c r="AG7" s="3">
        <v>234</v>
      </c>
      <c r="AH7" s="20">
        <v>233</v>
      </c>
    </row>
    <row r="8" spans="2:34" x14ac:dyDescent="0.35">
      <c r="B8" s="1"/>
      <c r="C8" s="12" t="s">
        <v>15</v>
      </c>
      <c r="D8" s="1"/>
      <c r="E8" s="13">
        <v>600</v>
      </c>
      <c r="F8" s="13">
        <v>360</v>
      </c>
      <c r="G8" s="13">
        <v>270</v>
      </c>
      <c r="H8" s="13">
        <v>250</v>
      </c>
      <c r="I8" s="13">
        <v>201</v>
      </c>
      <c r="J8" s="13">
        <v>185</v>
      </c>
      <c r="K8" s="13">
        <v>600</v>
      </c>
      <c r="L8" s="13">
        <v>360</v>
      </c>
      <c r="M8" s="13">
        <v>270</v>
      </c>
      <c r="N8" s="13">
        <v>250</v>
      </c>
      <c r="O8" s="13">
        <v>201</v>
      </c>
      <c r="P8" s="13">
        <v>185</v>
      </c>
      <c r="Q8" s="13">
        <v>600</v>
      </c>
      <c r="R8" s="13">
        <v>360</v>
      </c>
      <c r="S8" s="13">
        <v>270</v>
      </c>
      <c r="T8" s="13">
        <v>250</v>
      </c>
      <c r="U8" s="13">
        <v>201</v>
      </c>
      <c r="V8" s="13">
        <v>185</v>
      </c>
      <c r="W8" s="13">
        <v>600</v>
      </c>
      <c r="X8" s="13">
        <v>360</v>
      </c>
      <c r="Y8" s="13">
        <v>270</v>
      </c>
      <c r="Z8" s="13">
        <v>250</v>
      </c>
      <c r="AA8" s="13">
        <v>201</v>
      </c>
      <c r="AB8" s="13">
        <v>185</v>
      </c>
      <c r="AC8" s="13">
        <v>600</v>
      </c>
      <c r="AD8" s="13">
        <v>360</v>
      </c>
      <c r="AE8" s="13">
        <v>270</v>
      </c>
      <c r="AF8" s="13">
        <v>250</v>
      </c>
      <c r="AG8" s="13">
        <v>201</v>
      </c>
      <c r="AH8" s="13">
        <v>185</v>
      </c>
    </row>
    <row r="9" spans="2:34" x14ac:dyDescent="0.35">
      <c r="B9" s="1"/>
      <c r="C9" s="14" t="s">
        <v>14</v>
      </c>
      <c r="D9" s="1"/>
      <c r="E9" s="13">
        <f t="shared" ref="E9:AG9" si="0">SUM(E7:E8)</f>
        <v>871</v>
      </c>
      <c r="F9" s="13">
        <f t="shared" si="0"/>
        <v>542</v>
      </c>
      <c r="G9" s="13">
        <f t="shared" si="0"/>
        <v>453</v>
      </c>
      <c r="H9" s="13">
        <f t="shared" si="0"/>
        <v>432</v>
      </c>
      <c r="I9" s="13">
        <f t="shared" si="0"/>
        <v>383</v>
      </c>
      <c r="J9" s="13">
        <f t="shared" si="0"/>
        <v>367</v>
      </c>
      <c r="K9" s="13">
        <f t="shared" si="0"/>
        <v>825</v>
      </c>
      <c r="L9" s="13">
        <f t="shared" si="0"/>
        <v>510</v>
      </c>
      <c r="M9" s="13">
        <f t="shared" si="0"/>
        <v>420</v>
      </c>
      <c r="N9" s="13">
        <f t="shared" si="0"/>
        <v>400</v>
      </c>
      <c r="O9" s="13">
        <f t="shared" si="0"/>
        <v>351</v>
      </c>
      <c r="P9" s="13">
        <f t="shared" si="0"/>
        <v>335</v>
      </c>
      <c r="Q9" s="13">
        <f t="shared" si="0"/>
        <v>945</v>
      </c>
      <c r="R9" s="13">
        <f t="shared" si="0"/>
        <v>593</v>
      </c>
      <c r="S9" s="13">
        <f t="shared" si="0"/>
        <v>504</v>
      </c>
      <c r="T9" s="13">
        <f t="shared" si="0"/>
        <v>483</v>
      </c>
      <c r="U9" s="13">
        <f t="shared" si="0"/>
        <v>435</v>
      </c>
      <c r="V9" s="13">
        <f t="shared" si="0"/>
        <v>418</v>
      </c>
      <c r="W9" s="13">
        <f t="shared" si="0"/>
        <v>871</v>
      </c>
      <c r="X9" s="13">
        <f t="shared" si="0"/>
        <v>542</v>
      </c>
      <c r="Y9" s="13">
        <f t="shared" si="0"/>
        <v>453</v>
      </c>
      <c r="Z9" s="13">
        <f t="shared" si="0"/>
        <v>432</v>
      </c>
      <c r="AA9" s="13">
        <f t="shared" si="0"/>
        <v>383</v>
      </c>
      <c r="AB9" s="13">
        <f t="shared" si="0"/>
        <v>354</v>
      </c>
      <c r="AC9" s="13">
        <f t="shared" si="0"/>
        <v>945</v>
      </c>
      <c r="AD9" s="13">
        <f t="shared" si="0"/>
        <v>593</v>
      </c>
      <c r="AE9" s="13">
        <f t="shared" si="0"/>
        <v>504</v>
      </c>
      <c r="AF9" s="13">
        <f t="shared" si="0"/>
        <v>483</v>
      </c>
      <c r="AG9" s="13">
        <f t="shared" si="0"/>
        <v>435</v>
      </c>
      <c r="AH9" s="21">
        <f>SUM(AH7:AH8)</f>
        <v>418</v>
      </c>
    </row>
    <row r="10" spans="2:34" x14ac:dyDescent="0.35">
      <c r="C10" s="15"/>
    </row>
    <row r="11" spans="2:34" x14ac:dyDescent="0.35">
      <c r="E11" s="16" t="s">
        <v>16</v>
      </c>
    </row>
    <row r="12" spans="2:34" x14ac:dyDescent="0.35">
      <c r="C12" s="16" t="s">
        <v>17</v>
      </c>
      <c r="P12" s="16" t="s">
        <v>18</v>
      </c>
      <c r="Q12" s="16"/>
      <c r="W12" s="16"/>
      <c r="AC12" s="27"/>
    </row>
    <row r="13" spans="2:34" x14ac:dyDescent="0.35">
      <c r="B13" s="1" t="s">
        <v>10</v>
      </c>
      <c r="C13" s="1" t="s">
        <v>19</v>
      </c>
      <c r="D13" s="1">
        <v>1</v>
      </c>
      <c r="E13" s="1">
        <v>2</v>
      </c>
      <c r="F13" s="1">
        <v>3</v>
      </c>
      <c r="G13" s="1">
        <v>4</v>
      </c>
      <c r="H13" s="1">
        <v>5</v>
      </c>
      <c r="I13" s="1">
        <v>6</v>
      </c>
      <c r="O13" s="1" t="s">
        <v>10</v>
      </c>
      <c r="P13" s="1" t="s">
        <v>19</v>
      </c>
      <c r="Q13" s="1"/>
      <c r="R13" s="1"/>
      <c r="S13" s="1"/>
      <c r="T13" s="1"/>
      <c r="U13" s="1"/>
      <c r="V13" s="1"/>
    </row>
    <row r="14" spans="2:34" x14ac:dyDescent="0.35">
      <c r="B14" s="1">
        <v>1</v>
      </c>
      <c r="C14" s="1" t="s">
        <v>20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O14" s="1">
        <v>1</v>
      </c>
      <c r="P14" s="17"/>
      <c r="Q14" s="1"/>
      <c r="R14" s="1"/>
      <c r="S14" s="1"/>
      <c r="T14" s="1"/>
      <c r="U14" s="1"/>
      <c r="V14" s="1"/>
    </row>
    <row r="15" spans="2:34" x14ac:dyDescent="0.35">
      <c r="B15" s="1">
        <v>2</v>
      </c>
      <c r="C15" s="1" t="s">
        <v>21</v>
      </c>
      <c r="D15" s="1">
        <v>480</v>
      </c>
      <c r="E15" s="1">
        <v>240</v>
      </c>
      <c r="F15" s="1">
        <v>160</v>
      </c>
      <c r="G15" s="1">
        <v>140</v>
      </c>
      <c r="H15" s="1">
        <v>96</v>
      </c>
      <c r="I15" s="1">
        <v>80</v>
      </c>
      <c r="O15" s="1">
        <v>2</v>
      </c>
      <c r="P15" s="17"/>
      <c r="Q15" s="1"/>
      <c r="R15" s="1"/>
      <c r="S15" s="1"/>
      <c r="T15" s="1"/>
      <c r="U15" s="1"/>
      <c r="V15" s="1"/>
    </row>
    <row r="16" spans="2:34" x14ac:dyDescent="0.35">
      <c r="B16" s="1">
        <v>3</v>
      </c>
      <c r="C16" s="1" t="s">
        <v>22</v>
      </c>
      <c r="D16" s="1">
        <v>30</v>
      </c>
      <c r="E16" s="1">
        <v>30</v>
      </c>
      <c r="F16" s="1">
        <v>20</v>
      </c>
      <c r="G16" s="1">
        <v>20</v>
      </c>
      <c r="H16" s="1">
        <v>15</v>
      </c>
      <c r="I16" s="1">
        <v>15</v>
      </c>
      <c r="O16" s="1">
        <v>3</v>
      </c>
      <c r="P16" s="17"/>
      <c r="Q16" s="1"/>
      <c r="R16" s="1"/>
      <c r="S16" s="1"/>
      <c r="T16" s="1"/>
      <c r="U16" s="1"/>
      <c r="V16" s="1"/>
    </row>
    <row r="17" spans="2:22" x14ac:dyDescent="0.35">
      <c r="B17" s="1">
        <v>4</v>
      </c>
      <c r="C17" s="1" t="s">
        <v>163</v>
      </c>
      <c r="D17" s="1">
        <v>30</v>
      </c>
      <c r="E17" s="1">
        <v>30</v>
      </c>
      <c r="F17" s="1">
        <v>30</v>
      </c>
      <c r="G17" s="1">
        <v>30</v>
      </c>
      <c r="H17" s="1">
        <v>30</v>
      </c>
      <c r="I17" s="1">
        <v>30</v>
      </c>
      <c r="O17" s="1"/>
      <c r="P17" s="17"/>
      <c r="Q17" s="1"/>
      <c r="R17" s="1"/>
      <c r="S17" s="1"/>
      <c r="T17" s="1"/>
      <c r="U17" s="1"/>
      <c r="V17" s="1"/>
    </row>
    <row r="18" spans="2:22" x14ac:dyDescent="0.35">
      <c r="B18" s="1"/>
      <c r="C18" s="12" t="s">
        <v>14</v>
      </c>
      <c r="D18" s="13">
        <f t="shared" ref="D18:I18" si="1">SUM(D14:D16)</f>
        <v>600</v>
      </c>
      <c r="E18" s="13">
        <f t="shared" si="1"/>
        <v>360</v>
      </c>
      <c r="F18" s="13">
        <f t="shared" si="1"/>
        <v>270</v>
      </c>
      <c r="G18" s="13">
        <f t="shared" si="1"/>
        <v>250</v>
      </c>
      <c r="H18" s="13">
        <f t="shared" si="1"/>
        <v>201</v>
      </c>
      <c r="I18" s="13">
        <f t="shared" si="1"/>
        <v>185</v>
      </c>
      <c r="O18" s="1"/>
      <c r="P18" s="12" t="s">
        <v>14</v>
      </c>
      <c r="Q18" s="18"/>
      <c r="R18" s="18"/>
      <c r="S18" s="18"/>
      <c r="T18" s="18"/>
      <c r="U18" s="18"/>
      <c r="V18" s="18"/>
    </row>
    <row r="34" spans="11:11" x14ac:dyDescent="0.35">
      <c r="K34" t="s">
        <v>26</v>
      </c>
    </row>
    <row r="110" spans="17:17" x14ac:dyDescent="0.35">
      <c r="Q110" t="s">
        <v>26</v>
      </c>
    </row>
  </sheetData>
  <mergeCells count="1">
    <mergeCell ref="D1:O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H19"/>
  <sheetViews>
    <sheetView topLeftCell="B1" workbookViewId="0">
      <selection activeCell="AC8" sqref="AC8:AH8"/>
    </sheetView>
  </sheetViews>
  <sheetFormatPr defaultRowHeight="14.5" x14ac:dyDescent="0.35"/>
  <cols>
    <col min="3" max="3" width="17" customWidth="1"/>
  </cols>
  <sheetData>
    <row r="2" spans="2:34" x14ac:dyDescent="0.35">
      <c r="J2" t="s">
        <v>149</v>
      </c>
    </row>
    <row r="3" spans="2:34" x14ac:dyDescent="0.35">
      <c r="B3" s="1"/>
      <c r="C3" s="1"/>
      <c r="D3" s="1"/>
      <c r="E3" s="2" t="s">
        <v>0</v>
      </c>
      <c r="F3" s="3"/>
      <c r="G3" s="3"/>
      <c r="H3" s="3"/>
      <c r="I3" s="3"/>
      <c r="J3" s="3"/>
      <c r="K3" s="4" t="s">
        <v>27</v>
      </c>
      <c r="L3" s="5"/>
      <c r="M3" s="5"/>
      <c r="N3" s="5"/>
      <c r="O3" s="5"/>
      <c r="P3" s="5"/>
      <c r="Q3" s="6" t="s">
        <v>28</v>
      </c>
      <c r="R3" s="7"/>
      <c r="S3" s="7"/>
      <c r="T3" s="7"/>
      <c r="U3" s="7"/>
      <c r="V3" s="7"/>
      <c r="W3" s="8" t="s">
        <v>37</v>
      </c>
      <c r="X3" s="9"/>
      <c r="Y3" s="9"/>
      <c r="Z3" s="9"/>
      <c r="AA3" s="9"/>
      <c r="AB3" s="9"/>
      <c r="AC3" s="10" t="s">
        <v>4</v>
      </c>
      <c r="AD3" s="11"/>
      <c r="AE3" s="11"/>
      <c r="AF3" s="11"/>
      <c r="AG3" s="11"/>
      <c r="AH3" s="11"/>
    </row>
    <row r="4" spans="2:34" x14ac:dyDescent="0.35">
      <c r="B4" s="1"/>
      <c r="C4" s="1"/>
      <c r="D4" s="1"/>
      <c r="E4" s="3" t="s">
        <v>5</v>
      </c>
      <c r="F4" s="3"/>
      <c r="G4" s="3"/>
      <c r="H4" s="3"/>
      <c r="I4" s="3"/>
      <c r="J4" s="3"/>
      <c r="K4" s="5" t="s">
        <v>6</v>
      </c>
      <c r="L4" s="5"/>
      <c r="M4" s="5"/>
      <c r="N4" s="5"/>
      <c r="O4" s="5"/>
      <c r="P4" s="5"/>
      <c r="Q4" s="7" t="s">
        <v>7</v>
      </c>
      <c r="R4" s="7"/>
      <c r="S4" s="7"/>
      <c r="T4" s="7"/>
      <c r="U4" s="7"/>
      <c r="V4" s="7"/>
      <c r="W4" s="9" t="s">
        <v>8</v>
      </c>
      <c r="X4" s="9"/>
      <c r="Y4" s="9"/>
      <c r="Z4" s="9"/>
      <c r="AA4" s="9"/>
      <c r="AB4" s="9"/>
      <c r="AC4" s="10" t="s">
        <v>9</v>
      </c>
      <c r="AD4" s="11"/>
      <c r="AE4" s="11"/>
      <c r="AF4" s="11"/>
      <c r="AG4" s="11"/>
      <c r="AH4" s="11"/>
    </row>
    <row r="5" spans="2:34" x14ac:dyDescent="0.35">
      <c r="B5" s="1" t="s">
        <v>10</v>
      </c>
      <c r="C5" s="1" t="s">
        <v>11</v>
      </c>
      <c r="D5" s="1" t="s">
        <v>12</v>
      </c>
      <c r="E5" s="3">
        <v>1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5">
        <v>1</v>
      </c>
      <c r="L5" s="5">
        <v>2</v>
      </c>
      <c r="M5" s="5">
        <v>3</v>
      </c>
      <c r="N5" s="5">
        <v>4</v>
      </c>
      <c r="O5" s="5">
        <v>5</v>
      </c>
      <c r="P5" s="5">
        <v>6</v>
      </c>
      <c r="Q5" s="7">
        <v>1</v>
      </c>
      <c r="R5" s="7">
        <v>2</v>
      </c>
      <c r="S5" s="7">
        <v>3</v>
      </c>
      <c r="T5" s="7">
        <v>4</v>
      </c>
      <c r="U5" s="7">
        <v>5</v>
      </c>
      <c r="V5" s="7">
        <v>6</v>
      </c>
      <c r="W5" s="9">
        <v>1</v>
      </c>
      <c r="X5" s="9">
        <v>2</v>
      </c>
      <c r="Y5" s="9">
        <v>3</v>
      </c>
      <c r="Z5" s="9">
        <v>4</v>
      </c>
      <c r="AA5" s="9">
        <v>5</v>
      </c>
      <c r="AB5" s="9">
        <v>6</v>
      </c>
      <c r="AC5" s="11">
        <v>1</v>
      </c>
      <c r="AD5" s="11">
        <v>2</v>
      </c>
      <c r="AE5" s="11">
        <v>3</v>
      </c>
      <c r="AF5" s="11">
        <v>4</v>
      </c>
      <c r="AG5" s="11">
        <v>5</v>
      </c>
      <c r="AH5" s="11">
        <v>6</v>
      </c>
    </row>
    <row r="6" spans="2:34" x14ac:dyDescent="0.35">
      <c r="B6" s="1">
        <v>1</v>
      </c>
      <c r="C6" s="1" t="s">
        <v>29</v>
      </c>
      <c r="D6" s="1">
        <v>2</v>
      </c>
      <c r="E6" s="3">
        <v>380</v>
      </c>
      <c r="F6" s="3">
        <v>288</v>
      </c>
      <c r="G6" s="3">
        <v>268</v>
      </c>
      <c r="H6" s="3">
        <v>288</v>
      </c>
      <c r="I6" s="3">
        <v>276</v>
      </c>
      <c r="J6" s="3">
        <v>288</v>
      </c>
      <c r="K6" s="3">
        <v>380</v>
      </c>
      <c r="L6" s="3">
        <v>288</v>
      </c>
      <c r="M6" s="3">
        <v>268</v>
      </c>
      <c r="N6" s="3">
        <v>288</v>
      </c>
      <c r="O6" s="3">
        <v>276</v>
      </c>
      <c r="P6" s="3">
        <v>288</v>
      </c>
      <c r="Q6" s="3">
        <v>828</v>
      </c>
      <c r="R6" s="3">
        <v>598</v>
      </c>
      <c r="S6" s="3">
        <v>548</v>
      </c>
      <c r="T6" s="3">
        <v>598</v>
      </c>
      <c r="U6" s="3">
        <v>568</v>
      </c>
      <c r="V6" s="3">
        <v>598</v>
      </c>
      <c r="W6" s="3">
        <v>380</v>
      </c>
      <c r="X6" s="3">
        <v>288</v>
      </c>
      <c r="Y6" s="3">
        <v>268</v>
      </c>
      <c r="Z6" s="3">
        <v>288</v>
      </c>
      <c r="AA6" s="3">
        <v>276</v>
      </c>
      <c r="AB6" s="3">
        <v>288</v>
      </c>
      <c r="AC6" s="3">
        <v>702</v>
      </c>
      <c r="AD6" s="3">
        <v>552</v>
      </c>
      <c r="AE6" s="3">
        <v>518</v>
      </c>
      <c r="AF6" s="3">
        <v>552</v>
      </c>
      <c r="AG6" s="3">
        <v>532</v>
      </c>
      <c r="AH6" s="3">
        <v>552</v>
      </c>
    </row>
    <row r="7" spans="2:34" x14ac:dyDescent="0.35">
      <c r="B7" s="1"/>
      <c r="C7" s="12" t="s">
        <v>14</v>
      </c>
      <c r="D7" s="1"/>
      <c r="E7" s="3">
        <v>380</v>
      </c>
      <c r="F7" s="3">
        <v>288</v>
      </c>
      <c r="G7" s="3">
        <v>268</v>
      </c>
      <c r="H7" s="3">
        <v>288</v>
      </c>
      <c r="I7" s="3">
        <v>276</v>
      </c>
      <c r="J7" s="3">
        <v>288</v>
      </c>
      <c r="K7" s="3">
        <v>380</v>
      </c>
      <c r="L7" s="3">
        <v>288</v>
      </c>
      <c r="M7" s="3">
        <v>268</v>
      </c>
      <c r="N7" s="3">
        <v>288</v>
      </c>
      <c r="O7" s="3">
        <v>276</v>
      </c>
      <c r="P7" s="3">
        <v>288</v>
      </c>
      <c r="Q7" s="3">
        <v>828</v>
      </c>
      <c r="R7" s="3">
        <v>598</v>
      </c>
      <c r="S7" s="3">
        <v>548</v>
      </c>
      <c r="T7" s="3">
        <v>598</v>
      </c>
      <c r="U7" s="3">
        <v>568</v>
      </c>
      <c r="V7" s="3">
        <v>598</v>
      </c>
      <c r="W7" s="3">
        <v>380</v>
      </c>
      <c r="X7" s="3">
        <v>288</v>
      </c>
      <c r="Y7" s="3">
        <v>268</v>
      </c>
      <c r="Z7" s="3">
        <v>288</v>
      </c>
      <c r="AA7" s="3">
        <v>276</v>
      </c>
      <c r="AB7" s="3">
        <v>288</v>
      </c>
      <c r="AC7" s="3">
        <v>702</v>
      </c>
      <c r="AD7" s="3">
        <v>552</v>
      </c>
      <c r="AE7" s="3">
        <v>518</v>
      </c>
      <c r="AF7" s="3">
        <v>552</v>
      </c>
      <c r="AG7" s="3">
        <v>532</v>
      </c>
      <c r="AH7" s="3">
        <v>552</v>
      </c>
    </row>
    <row r="8" spans="2:34" x14ac:dyDescent="0.35">
      <c r="B8" s="1"/>
      <c r="C8" s="12" t="s">
        <v>15</v>
      </c>
      <c r="D8" s="1"/>
      <c r="E8" s="13">
        <v>1000</v>
      </c>
      <c r="F8" s="13">
        <v>625</v>
      </c>
      <c r="G8" s="13">
        <v>490</v>
      </c>
      <c r="H8" s="13">
        <v>430</v>
      </c>
      <c r="I8" s="13">
        <v>385</v>
      </c>
      <c r="J8" s="13">
        <v>360</v>
      </c>
      <c r="K8" s="13">
        <v>1000</v>
      </c>
      <c r="L8" s="13">
        <v>625</v>
      </c>
      <c r="M8" s="13">
        <v>490</v>
      </c>
      <c r="N8" s="13">
        <v>430</v>
      </c>
      <c r="O8" s="13">
        <v>385</v>
      </c>
      <c r="P8" s="13">
        <v>360</v>
      </c>
      <c r="Q8" s="13">
        <v>1220</v>
      </c>
      <c r="R8" s="13">
        <v>825</v>
      </c>
      <c r="S8" s="13">
        <v>690</v>
      </c>
      <c r="T8" s="13">
        <v>630</v>
      </c>
      <c r="U8" s="13">
        <v>585</v>
      </c>
      <c r="V8" s="13">
        <v>560</v>
      </c>
      <c r="W8" s="13">
        <v>1220</v>
      </c>
      <c r="X8" s="13">
        <v>825</v>
      </c>
      <c r="Y8" s="13">
        <v>690</v>
      </c>
      <c r="Z8" s="13">
        <v>630</v>
      </c>
      <c r="AA8" s="13">
        <v>585</v>
      </c>
      <c r="AB8" s="13">
        <v>560</v>
      </c>
      <c r="AC8" s="13">
        <v>1220</v>
      </c>
      <c r="AD8" s="13">
        <v>825</v>
      </c>
      <c r="AE8" s="13">
        <v>690</v>
      </c>
      <c r="AF8" s="13">
        <v>630</v>
      </c>
      <c r="AG8" s="13">
        <v>585</v>
      </c>
      <c r="AH8" s="13">
        <v>560</v>
      </c>
    </row>
    <row r="9" spans="2:34" x14ac:dyDescent="0.35">
      <c r="B9" s="1"/>
      <c r="C9" s="14" t="s">
        <v>14</v>
      </c>
      <c r="D9" s="1"/>
      <c r="E9" s="13">
        <f t="shared" ref="E9:AH9" si="0">SUM(E7:E8)</f>
        <v>1380</v>
      </c>
      <c r="F9" s="13">
        <f t="shared" si="0"/>
        <v>913</v>
      </c>
      <c r="G9" s="13">
        <f t="shared" si="0"/>
        <v>758</v>
      </c>
      <c r="H9" s="13">
        <f t="shared" si="0"/>
        <v>718</v>
      </c>
      <c r="I9" s="13">
        <f t="shared" si="0"/>
        <v>661</v>
      </c>
      <c r="J9" s="13">
        <f t="shared" si="0"/>
        <v>648</v>
      </c>
      <c r="K9" s="13">
        <f t="shared" si="0"/>
        <v>1380</v>
      </c>
      <c r="L9" s="13">
        <f t="shared" si="0"/>
        <v>913</v>
      </c>
      <c r="M9" s="13">
        <f t="shared" si="0"/>
        <v>758</v>
      </c>
      <c r="N9" s="13">
        <f t="shared" si="0"/>
        <v>718</v>
      </c>
      <c r="O9" s="13">
        <f t="shared" si="0"/>
        <v>661</v>
      </c>
      <c r="P9" s="13">
        <f t="shared" si="0"/>
        <v>648</v>
      </c>
      <c r="Q9" s="13">
        <f t="shared" si="0"/>
        <v>2048</v>
      </c>
      <c r="R9" s="13">
        <f t="shared" si="0"/>
        <v>1423</v>
      </c>
      <c r="S9" s="13">
        <f t="shared" si="0"/>
        <v>1238</v>
      </c>
      <c r="T9" s="13">
        <f t="shared" si="0"/>
        <v>1228</v>
      </c>
      <c r="U9" s="13">
        <f t="shared" si="0"/>
        <v>1153</v>
      </c>
      <c r="V9" s="13">
        <f t="shared" si="0"/>
        <v>1158</v>
      </c>
      <c r="W9" s="13">
        <f t="shared" si="0"/>
        <v>1600</v>
      </c>
      <c r="X9" s="13">
        <f t="shared" si="0"/>
        <v>1113</v>
      </c>
      <c r="Y9" s="13">
        <f t="shared" si="0"/>
        <v>958</v>
      </c>
      <c r="Z9" s="13">
        <f t="shared" si="0"/>
        <v>918</v>
      </c>
      <c r="AA9" s="13">
        <f t="shared" si="0"/>
        <v>861</v>
      </c>
      <c r="AB9" s="13">
        <f t="shared" si="0"/>
        <v>848</v>
      </c>
      <c r="AC9" s="13">
        <f t="shared" si="0"/>
        <v>1922</v>
      </c>
      <c r="AD9" s="13">
        <f t="shared" si="0"/>
        <v>1377</v>
      </c>
      <c r="AE9" s="13">
        <f t="shared" si="0"/>
        <v>1208</v>
      </c>
      <c r="AF9" s="13">
        <f t="shared" si="0"/>
        <v>1182</v>
      </c>
      <c r="AG9" s="13">
        <f t="shared" si="0"/>
        <v>1117</v>
      </c>
      <c r="AH9" s="3">
        <f t="shared" si="0"/>
        <v>1112</v>
      </c>
    </row>
    <row r="10" spans="2:34" x14ac:dyDescent="0.35">
      <c r="C10" s="15"/>
    </row>
    <row r="11" spans="2:34" x14ac:dyDescent="0.35">
      <c r="E11" s="16" t="s">
        <v>16</v>
      </c>
    </row>
    <row r="12" spans="2:34" x14ac:dyDescent="0.35">
      <c r="C12" s="16" t="s">
        <v>17</v>
      </c>
      <c r="P12" s="16" t="s">
        <v>18</v>
      </c>
      <c r="Q12" s="16"/>
      <c r="W12" s="16"/>
    </row>
    <row r="13" spans="2:34" x14ac:dyDescent="0.35">
      <c r="B13" s="1" t="s">
        <v>10</v>
      </c>
      <c r="C13" s="1" t="s">
        <v>19</v>
      </c>
      <c r="D13" s="1">
        <v>1</v>
      </c>
      <c r="E13" s="1">
        <v>2</v>
      </c>
      <c r="F13" s="1">
        <v>3</v>
      </c>
      <c r="G13" s="1">
        <v>4</v>
      </c>
      <c r="H13" s="1">
        <v>5</v>
      </c>
      <c r="I13" s="1">
        <v>6</v>
      </c>
      <c r="O13" s="1" t="s">
        <v>10</v>
      </c>
      <c r="P13" s="1" t="s">
        <v>19</v>
      </c>
      <c r="Q13" s="1"/>
      <c r="R13" s="1"/>
      <c r="S13" s="1"/>
      <c r="T13" s="1"/>
      <c r="U13" s="1"/>
      <c r="V13" s="1"/>
    </row>
    <row r="14" spans="2:34" x14ac:dyDescent="0.35">
      <c r="B14" s="1">
        <v>1</v>
      </c>
      <c r="C14" s="1" t="s">
        <v>30</v>
      </c>
      <c r="D14" s="1">
        <v>200</v>
      </c>
      <c r="E14" s="1">
        <v>200</v>
      </c>
      <c r="F14" s="1">
        <v>200</v>
      </c>
      <c r="G14" s="1">
        <v>200</v>
      </c>
      <c r="H14" s="1">
        <v>200</v>
      </c>
      <c r="I14" s="1">
        <v>200</v>
      </c>
      <c r="O14" s="1">
        <v>1</v>
      </c>
      <c r="P14" s="17" t="s">
        <v>31</v>
      </c>
      <c r="Q14" s="1">
        <v>400</v>
      </c>
      <c r="R14" s="1">
        <v>400</v>
      </c>
      <c r="S14" s="1">
        <v>400</v>
      </c>
      <c r="T14" s="1">
        <v>400</v>
      </c>
      <c r="U14" s="1">
        <v>400</v>
      </c>
      <c r="V14" s="1">
        <v>400</v>
      </c>
    </row>
    <row r="15" spans="2:34" x14ac:dyDescent="0.35">
      <c r="B15" s="1">
        <v>2</v>
      </c>
      <c r="C15" s="1" t="s">
        <v>32</v>
      </c>
      <c r="D15" s="1">
        <v>750</v>
      </c>
      <c r="E15" s="1">
        <v>375</v>
      </c>
      <c r="F15" s="1">
        <v>250</v>
      </c>
      <c r="G15" s="1">
        <v>190</v>
      </c>
      <c r="H15" s="1">
        <v>150</v>
      </c>
      <c r="I15" s="1">
        <v>125</v>
      </c>
      <c r="O15" s="1">
        <v>2</v>
      </c>
      <c r="P15" s="17" t="s">
        <v>33</v>
      </c>
      <c r="Q15" s="1">
        <v>750</v>
      </c>
      <c r="R15" s="1">
        <v>375</v>
      </c>
      <c r="S15" s="1">
        <v>250</v>
      </c>
      <c r="T15" s="1">
        <v>190</v>
      </c>
      <c r="U15" s="1">
        <v>150</v>
      </c>
      <c r="V15" s="1">
        <v>125</v>
      </c>
    </row>
    <row r="16" spans="2:34" x14ac:dyDescent="0.35">
      <c r="B16" s="1">
        <v>3</v>
      </c>
      <c r="C16" s="1" t="s">
        <v>22</v>
      </c>
      <c r="D16" s="1">
        <v>30</v>
      </c>
      <c r="E16" s="1">
        <v>30</v>
      </c>
      <c r="F16" s="1">
        <v>20</v>
      </c>
      <c r="G16" s="1">
        <v>20</v>
      </c>
      <c r="H16" s="1">
        <v>15</v>
      </c>
      <c r="I16" s="1">
        <v>15</v>
      </c>
      <c r="O16" s="1">
        <v>3</v>
      </c>
      <c r="P16" s="17" t="s">
        <v>34</v>
      </c>
      <c r="Q16" s="1">
        <v>30</v>
      </c>
      <c r="R16" s="1">
        <v>30</v>
      </c>
      <c r="S16" s="1">
        <v>20</v>
      </c>
      <c r="T16" s="1">
        <v>20</v>
      </c>
      <c r="U16" s="1">
        <v>15</v>
      </c>
      <c r="V16" s="1">
        <v>15</v>
      </c>
    </row>
    <row r="17" spans="2:22" x14ac:dyDescent="0.35">
      <c r="B17" s="1">
        <v>4</v>
      </c>
      <c r="C17" s="1" t="s">
        <v>35</v>
      </c>
      <c r="D17" s="1">
        <v>20</v>
      </c>
      <c r="E17" s="1">
        <v>20</v>
      </c>
      <c r="F17" s="1">
        <v>20</v>
      </c>
      <c r="G17" s="1">
        <v>20</v>
      </c>
      <c r="H17" s="1">
        <v>20</v>
      </c>
      <c r="I17" s="1">
        <v>20</v>
      </c>
      <c r="O17" s="1">
        <v>4</v>
      </c>
      <c r="P17" s="17" t="s">
        <v>36</v>
      </c>
      <c r="Q17" s="1">
        <v>20</v>
      </c>
      <c r="R17" s="1">
        <v>20</v>
      </c>
      <c r="S17" s="1">
        <v>20</v>
      </c>
      <c r="T17" s="1">
        <v>20</v>
      </c>
      <c r="U17" s="1">
        <v>20</v>
      </c>
      <c r="V17" s="1">
        <v>20</v>
      </c>
    </row>
    <row r="18" spans="2:22" x14ac:dyDescent="0.35">
      <c r="B18" s="1"/>
      <c r="C18" s="1" t="s">
        <v>161</v>
      </c>
      <c r="D18" s="1">
        <v>20</v>
      </c>
      <c r="E18" s="1">
        <v>20</v>
      </c>
      <c r="F18" s="1">
        <v>20</v>
      </c>
      <c r="G18" s="1">
        <v>20</v>
      </c>
      <c r="H18" s="1">
        <v>20</v>
      </c>
      <c r="I18" s="1">
        <v>20</v>
      </c>
      <c r="O18" s="1"/>
      <c r="P18" s="17" t="s">
        <v>162</v>
      </c>
      <c r="Q18" s="1">
        <v>20</v>
      </c>
      <c r="R18" s="1">
        <v>20</v>
      </c>
      <c r="S18" s="1">
        <v>20</v>
      </c>
      <c r="T18" s="1">
        <v>20</v>
      </c>
      <c r="U18" s="1">
        <v>20</v>
      </c>
      <c r="V18" s="1">
        <v>20</v>
      </c>
    </row>
    <row r="19" spans="2:22" x14ac:dyDescent="0.35">
      <c r="B19" s="1"/>
      <c r="C19" s="12" t="s">
        <v>14</v>
      </c>
      <c r="D19" s="13">
        <f t="shared" ref="D19:I19" si="1">SUM(D14:D17)</f>
        <v>1000</v>
      </c>
      <c r="E19" s="13">
        <f t="shared" si="1"/>
        <v>625</v>
      </c>
      <c r="F19" s="13">
        <f t="shared" si="1"/>
        <v>490</v>
      </c>
      <c r="G19" s="13">
        <f t="shared" si="1"/>
        <v>430</v>
      </c>
      <c r="H19" s="13">
        <f t="shared" si="1"/>
        <v>385</v>
      </c>
      <c r="I19" s="13">
        <f t="shared" si="1"/>
        <v>360</v>
      </c>
      <c r="O19" s="1"/>
      <c r="P19" s="12" t="s">
        <v>14</v>
      </c>
      <c r="Q19" s="13">
        <f>SUM(Q14:Q18)</f>
        <v>1220</v>
      </c>
      <c r="R19" s="13">
        <f t="shared" ref="Q19:V19" si="2">SUM(R14:R17)</f>
        <v>825</v>
      </c>
      <c r="S19" s="13">
        <f t="shared" si="2"/>
        <v>690</v>
      </c>
      <c r="T19" s="13">
        <f t="shared" si="2"/>
        <v>630</v>
      </c>
      <c r="U19" s="13">
        <f t="shared" si="2"/>
        <v>585</v>
      </c>
      <c r="V19" s="13">
        <f t="shared" si="2"/>
        <v>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AI20"/>
  <sheetViews>
    <sheetView workbookViewId="0">
      <selection activeCell="E16" sqref="E16:J16"/>
    </sheetView>
  </sheetViews>
  <sheetFormatPr defaultRowHeight="14.5" x14ac:dyDescent="0.35"/>
  <cols>
    <col min="4" max="4" width="17.26953125" customWidth="1"/>
  </cols>
  <sheetData>
    <row r="3" spans="3:35" x14ac:dyDescent="0.35">
      <c r="K3" t="s">
        <v>38</v>
      </c>
    </row>
    <row r="4" spans="3:35" x14ac:dyDescent="0.35">
      <c r="C4" s="1"/>
      <c r="D4" s="1"/>
      <c r="E4" s="1"/>
      <c r="F4" s="2" t="s">
        <v>0</v>
      </c>
      <c r="G4" s="3"/>
      <c r="H4" s="3"/>
      <c r="I4" s="3"/>
      <c r="J4" s="3"/>
      <c r="K4" s="3"/>
      <c r="L4" s="4" t="s">
        <v>40</v>
      </c>
      <c r="M4" s="5"/>
      <c r="N4" s="5"/>
      <c r="O4" s="5"/>
      <c r="P4" s="5"/>
      <c r="Q4" s="5"/>
      <c r="R4" s="6" t="s">
        <v>41</v>
      </c>
      <c r="S4" s="7"/>
      <c r="T4" s="7"/>
      <c r="U4" s="7"/>
      <c r="V4" s="7"/>
      <c r="W4" s="7"/>
      <c r="X4" s="8" t="s">
        <v>42</v>
      </c>
      <c r="Y4" s="9"/>
      <c r="Z4" s="9"/>
      <c r="AA4" s="9"/>
      <c r="AB4" s="9"/>
      <c r="AC4" s="9"/>
      <c r="AD4" s="10" t="s">
        <v>4</v>
      </c>
      <c r="AE4" s="11"/>
      <c r="AF4" s="11"/>
      <c r="AG4" s="11"/>
      <c r="AH4" s="11"/>
      <c r="AI4" s="11"/>
    </row>
    <row r="5" spans="3:35" x14ac:dyDescent="0.35">
      <c r="C5" s="1"/>
      <c r="D5" s="1"/>
      <c r="E5" s="1"/>
      <c r="F5" s="3" t="s">
        <v>5</v>
      </c>
      <c r="G5" s="3"/>
      <c r="H5" s="3"/>
      <c r="I5" s="3"/>
      <c r="J5" s="3"/>
      <c r="K5" s="3"/>
      <c r="L5" s="5" t="s">
        <v>6</v>
      </c>
      <c r="M5" s="5"/>
      <c r="N5" s="5"/>
      <c r="O5" s="5"/>
      <c r="P5" s="5"/>
      <c r="Q5" s="5"/>
      <c r="R5" s="7" t="s">
        <v>7</v>
      </c>
      <c r="S5" s="7"/>
      <c r="T5" s="7"/>
      <c r="U5" s="7"/>
      <c r="V5" s="7"/>
      <c r="W5" s="7"/>
      <c r="X5" s="9" t="s">
        <v>8</v>
      </c>
      <c r="Y5" s="9"/>
      <c r="Z5" s="9"/>
      <c r="AA5" s="9"/>
      <c r="AB5" s="9"/>
      <c r="AC5" s="9"/>
      <c r="AD5" s="10" t="s">
        <v>9</v>
      </c>
      <c r="AE5" s="11"/>
      <c r="AF5" s="11"/>
      <c r="AG5" s="11"/>
      <c r="AH5" s="11"/>
      <c r="AI5" s="11"/>
    </row>
    <row r="6" spans="3:35" x14ac:dyDescent="0.35">
      <c r="C6" s="1" t="s">
        <v>10</v>
      </c>
      <c r="D6" s="1" t="s">
        <v>11</v>
      </c>
      <c r="E6" s="1" t="s">
        <v>12</v>
      </c>
      <c r="F6" s="3">
        <v>1</v>
      </c>
      <c r="G6" s="3">
        <v>2</v>
      </c>
      <c r="H6" s="3">
        <v>3</v>
      </c>
      <c r="I6" s="3">
        <v>4</v>
      </c>
      <c r="J6" s="3">
        <v>5</v>
      </c>
      <c r="K6" s="3">
        <v>6</v>
      </c>
      <c r="L6" s="5">
        <v>1</v>
      </c>
      <c r="M6" s="5">
        <v>2</v>
      </c>
      <c r="N6" s="5">
        <v>3</v>
      </c>
      <c r="O6" s="5">
        <v>4</v>
      </c>
      <c r="P6" s="5">
        <v>5</v>
      </c>
      <c r="Q6" s="5">
        <v>6</v>
      </c>
      <c r="R6" s="7">
        <v>1</v>
      </c>
      <c r="S6" s="7">
        <v>2</v>
      </c>
      <c r="T6" s="7">
        <v>3</v>
      </c>
      <c r="U6" s="7">
        <v>4</v>
      </c>
      <c r="V6" s="7">
        <v>5</v>
      </c>
      <c r="W6" s="7">
        <v>6</v>
      </c>
      <c r="X6" s="9">
        <v>1</v>
      </c>
      <c r="Y6" s="9">
        <v>2</v>
      </c>
      <c r="Z6" s="9">
        <v>3</v>
      </c>
      <c r="AA6" s="9">
        <v>4</v>
      </c>
      <c r="AB6" s="9">
        <v>5</v>
      </c>
      <c r="AC6" s="9">
        <v>6</v>
      </c>
      <c r="AD6" s="11">
        <v>1</v>
      </c>
      <c r="AE6" s="11">
        <v>2</v>
      </c>
      <c r="AF6" s="11">
        <v>3</v>
      </c>
      <c r="AG6" s="11">
        <v>4</v>
      </c>
      <c r="AH6" s="11">
        <v>5</v>
      </c>
      <c r="AI6" s="11">
        <v>6</v>
      </c>
    </row>
    <row r="7" spans="3:35" x14ac:dyDescent="0.35">
      <c r="C7" s="1">
        <v>1</v>
      </c>
      <c r="D7" s="1" t="s">
        <v>39</v>
      </c>
      <c r="E7" s="1">
        <v>2</v>
      </c>
      <c r="F7" s="3">
        <v>1242</v>
      </c>
      <c r="G7" s="3">
        <v>943</v>
      </c>
      <c r="H7" s="3">
        <v>943</v>
      </c>
      <c r="I7" s="3">
        <v>943</v>
      </c>
      <c r="J7" s="3">
        <v>943</v>
      </c>
      <c r="K7" s="3">
        <v>943</v>
      </c>
      <c r="L7" s="3">
        <v>1242</v>
      </c>
      <c r="M7" s="3">
        <v>943</v>
      </c>
      <c r="N7" s="3">
        <v>943</v>
      </c>
      <c r="O7" s="3">
        <v>943</v>
      </c>
      <c r="P7" s="3">
        <v>943</v>
      </c>
      <c r="Q7" s="3">
        <v>943</v>
      </c>
      <c r="R7" s="3">
        <v>2024</v>
      </c>
      <c r="S7" s="3">
        <v>1610</v>
      </c>
      <c r="T7" s="3">
        <v>1610</v>
      </c>
      <c r="U7" s="3">
        <v>1610</v>
      </c>
      <c r="V7" s="3">
        <v>1610</v>
      </c>
      <c r="W7" s="3">
        <v>1610</v>
      </c>
      <c r="X7" s="3">
        <v>1173</v>
      </c>
      <c r="Y7" s="3">
        <v>886</v>
      </c>
      <c r="Z7" s="3">
        <v>886</v>
      </c>
      <c r="AA7" s="3">
        <v>886</v>
      </c>
      <c r="AB7" s="3">
        <v>886</v>
      </c>
      <c r="AC7" s="3">
        <v>886</v>
      </c>
      <c r="AD7" s="3">
        <v>2024</v>
      </c>
      <c r="AE7" s="3">
        <v>1610</v>
      </c>
      <c r="AF7" s="3">
        <v>1610</v>
      </c>
      <c r="AG7" s="3">
        <v>1610</v>
      </c>
      <c r="AH7" s="3">
        <v>1610</v>
      </c>
      <c r="AI7" s="3">
        <v>1610</v>
      </c>
    </row>
    <row r="8" spans="3:35" x14ac:dyDescent="0.35">
      <c r="C8" s="1"/>
      <c r="D8" s="12" t="s">
        <v>152</v>
      </c>
      <c r="E8" s="1">
        <v>2</v>
      </c>
      <c r="F8" s="3">
        <v>1242</v>
      </c>
      <c r="G8" s="3">
        <v>943</v>
      </c>
      <c r="H8" s="3">
        <v>943</v>
      </c>
      <c r="I8" s="3">
        <v>943</v>
      </c>
      <c r="J8" s="3">
        <v>943</v>
      </c>
      <c r="K8" s="3">
        <v>943</v>
      </c>
      <c r="L8" s="3">
        <v>1242</v>
      </c>
      <c r="M8" s="3">
        <v>943</v>
      </c>
      <c r="N8" s="3">
        <v>943</v>
      </c>
      <c r="O8" s="3">
        <v>943</v>
      </c>
      <c r="P8" s="3">
        <v>943</v>
      </c>
      <c r="Q8" s="3">
        <v>943</v>
      </c>
      <c r="R8" s="3">
        <v>2024</v>
      </c>
      <c r="S8" s="3">
        <v>1610</v>
      </c>
      <c r="T8" s="3">
        <v>1610</v>
      </c>
      <c r="U8" s="3">
        <v>1610</v>
      </c>
      <c r="V8" s="3">
        <v>1610</v>
      </c>
      <c r="W8" s="3">
        <v>1610</v>
      </c>
      <c r="X8" s="3">
        <v>1173</v>
      </c>
      <c r="Y8" s="3">
        <v>886</v>
      </c>
      <c r="Z8" s="3">
        <v>886</v>
      </c>
      <c r="AA8" s="3">
        <v>886</v>
      </c>
      <c r="AB8" s="3">
        <v>886</v>
      </c>
      <c r="AC8" s="3">
        <v>886</v>
      </c>
      <c r="AD8" s="3">
        <v>2024</v>
      </c>
      <c r="AE8" s="3">
        <v>1610</v>
      </c>
      <c r="AF8" s="3">
        <v>1610</v>
      </c>
      <c r="AG8" s="3">
        <v>1610</v>
      </c>
      <c r="AH8" s="3">
        <v>1610</v>
      </c>
      <c r="AI8" s="3">
        <v>1610</v>
      </c>
    </row>
    <row r="9" spans="3:35" x14ac:dyDescent="0.35">
      <c r="C9" s="1"/>
      <c r="D9" s="12" t="s">
        <v>15</v>
      </c>
      <c r="E9" s="1"/>
      <c r="F9" s="13">
        <v>1000</v>
      </c>
      <c r="G9" s="13">
        <v>625</v>
      </c>
      <c r="H9" s="13">
        <v>490</v>
      </c>
      <c r="I9" s="13">
        <v>430</v>
      </c>
      <c r="J9" s="13">
        <v>385</v>
      </c>
      <c r="K9" s="13">
        <v>360</v>
      </c>
      <c r="L9" s="13">
        <v>1000</v>
      </c>
      <c r="M9" s="13">
        <v>625</v>
      </c>
      <c r="N9" s="13">
        <v>490</v>
      </c>
      <c r="O9" s="13">
        <v>430</v>
      </c>
      <c r="P9" s="13">
        <v>385</v>
      </c>
      <c r="Q9" s="13">
        <v>360</v>
      </c>
      <c r="R9" s="13">
        <v>1200</v>
      </c>
      <c r="S9" s="13">
        <v>825</v>
      </c>
      <c r="T9" s="13">
        <v>690</v>
      </c>
      <c r="U9" s="13">
        <v>630</v>
      </c>
      <c r="V9" s="13">
        <v>585</v>
      </c>
      <c r="W9" s="13">
        <v>560</v>
      </c>
      <c r="X9" s="13">
        <v>1200</v>
      </c>
      <c r="Y9" s="13">
        <v>825</v>
      </c>
      <c r="Z9" s="13">
        <v>690</v>
      </c>
      <c r="AA9" s="13">
        <v>630</v>
      </c>
      <c r="AB9" s="13">
        <v>585</v>
      </c>
      <c r="AC9" s="13">
        <v>560</v>
      </c>
      <c r="AD9" s="13">
        <v>1200</v>
      </c>
      <c r="AE9" s="13">
        <v>825</v>
      </c>
      <c r="AF9" s="13">
        <v>690</v>
      </c>
      <c r="AG9" s="13">
        <v>630</v>
      </c>
      <c r="AH9" s="13">
        <v>585</v>
      </c>
      <c r="AI9" s="13">
        <v>560</v>
      </c>
    </row>
    <row r="10" spans="3:35" x14ac:dyDescent="0.35">
      <c r="C10" s="1"/>
      <c r="D10" s="14" t="s">
        <v>14</v>
      </c>
      <c r="E10" s="1"/>
      <c r="F10" s="13">
        <f t="shared" ref="F10:AI10" si="0">SUM(F8:F9)</f>
        <v>2242</v>
      </c>
      <c r="G10" s="13">
        <f t="shared" si="0"/>
        <v>1568</v>
      </c>
      <c r="H10" s="13">
        <f t="shared" si="0"/>
        <v>1433</v>
      </c>
      <c r="I10" s="13">
        <f>SUM(I8:I9)</f>
        <v>1373</v>
      </c>
      <c r="J10" s="13">
        <f t="shared" si="0"/>
        <v>1328</v>
      </c>
      <c r="K10" s="13">
        <f t="shared" si="0"/>
        <v>1303</v>
      </c>
      <c r="L10" s="13">
        <f t="shared" si="0"/>
        <v>2242</v>
      </c>
      <c r="M10" s="13">
        <f t="shared" si="0"/>
        <v>1568</v>
      </c>
      <c r="N10" s="13">
        <f t="shared" si="0"/>
        <v>1433</v>
      </c>
      <c r="O10" s="13">
        <f t="shared" si="0"/>
        <v>1373</v>
      </c>
      <c r="P10" s="13">
        <f t="shared" si="0"/>
        <v>1328</v>
      </c>
      <c r="Q10" s="13">
        <f t="shared" si="0"/>
        <v>1303</v>
      </c>
      <c r="R10" s="13">
        <f t="shared" si="0"/>
        <v>3224</v>
      </c>
      <c r="S10" s="13">
        <f t="shared" si="0"/>
        <v>2435</v>
      </c>
      <c r="T10" s="13">
        <f t="shared" si="0"/>
        <v>2300</v>
      </c>
      <c r="U10" s="13">
        <f t="shared" si="0"/>
        <v>2240</v>
      </c>
      <c r="V10" s="13">
        <f t="shared" si="0"/>
        <v>2195</v>
      </c>
      <c r="W10" s="13">
        <f t="shared" si="0"/>
        <v>2170</v>
      </c>
      <c r="X10" s="13">
        <f t="shared" si="0"/>
        <v>2373</v>
      </c>
      <c r="Y10" s="13">
        <f t="shared" si="0"/>
        <v>1711</v>
      </c>
      <c r="Z10" s="13">
        <f t="shared" si="0"/>
        <v>1576</v>
      </c>
      <c r="AA10" s="13">
        <f t="shared" si="0"/>
        <v>1516</v>
      </c>
      <c r="AB10" s="13">
        <f t="shared" si="0"/>
        <v>1471</v>
      </c>
      <c r="AC10" s="13">
        <f t="shared" si="0"/>
        <v>1446</v>
      </c>
      <c r="AD10" s="13">
        <f t="shared" si="0"/>
        <v>3224</v>
      </c>
      <c r="AE10" s="13">
        <f t="shared" si="0"/>
        <v>2435</v>
      </c>
      <c r="AF10" s="13">
        <f t="shared" si="0"/>
        <v>2300</v>
      </c>
      <c r="AG10" s="13">
        <f t="shared" si="0"/>
        <v>2240</v>
      </c>
      <c r="AH10" s="13">
        <f>SUM(AH8:AH9)</f>
        <v>2195</v>
      </c>
      <c r="AI10" s="3">
        <f t="shared" si="0"/>
        <v>2170</v>
      </c>
    </row>
    <row r="11" spans="3:35" x14ac:dyDescent="0.35">
      <c r="D11" s="15"/>
    </row>
    <row r="12" spans="3:35" x14ac:dyDescent="0.35">
      <c r="F12" s="16" t="s">
        <v>16</v>
      </c>
    </row>
    <row r="13" spans="3:35" x14ac:dyDescent="0.35">
      <c r="D13" s="16" t="s">
        <v>17</v>
      </c>
      <c r="Q13" s="16" t="s">
        <v>18</v>
      </c>
      <c r="R13" s="16"/>
      <c r="X13" s="16"/>
    </row>
    <row r="14" spans="3:35" x14ac:dyDescent="0.35">
      <c r="C14" s="1" t="s">
        <v>10</v>
      </c>
      <c r="D14" s="1" t="s">
        <v>19</v>
      </c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P14" s="1" t="s">
        <v>10</v>
      </c>
      <c r="Q14" s="1" t="s">
        <v>19</v>
      </c>
      <c r="R14" s="1"/>
      <c r="S14" s="1"/>
      <c r="T14" s="1"/>
      <c r="U14" s="1"/>
      <c r="V14" s="1"/>
      <c r="W14" s="1"/>
    </row>
    <row r="15" spans="3:35" x14ac:dyDescent="0.35">
      <c r="C15" s="1">
        <v>1</v>
      </c>
      <c r="D15" s="1" t="s">
        <v>30</v>
      </c>
      <c r="E15" s="1">
        <v>200</v>
      </c>
      <c r="F15" s="1">
        <v>200</v>
      </c>
      <c r="G15" s="1">
        <v>200</v>
      </c>
      <c r="H15" s="1">
        <v>200</v>
      </c>
      <c r="I15" s="1">
        <v>200</v>
      </c>
      <c r="J15" s="1">
        <v>200</v>
      </c>
      <c r="P15" s="1">
        <v>1</v>
      </c>
      <c r="Q15" s="17" t="s">
        <v>31</v>
      </c>
      <c r="R15" s="1">
        <v>400</v>
      </c>
      <c r="S15" s="1">
        <v>400</v>
      </c>
      <c r="T15" s="1">
        <v>400</v>
      </c>
      <c r="U15" s="1">
        <v>400</v>
      </c>
      <c r="V15" s="1">
        <v>400</v>
      </c>
      <c r="W15" s="1">
        <v>400</v>
      </c>
    </row>
    <row r="16" spans="3:35" x14ac:dyDescent="0.35">
      <c r="C16" s="1">
        <v>2</v>
      </c>
      <c r="D16" s="1" t="s">
        <v>32</v>
      </c>
      <c r="E16" s="1">
        <v>750</v>
      </c>
      <c r="F16" s="1">
        <v>375</v>
      </c>
      <c r="G16" s="1">
        <v>250</v>
      </c>
      <c r="H16" s="1">
        <v>190</v>
      </c>
      <c r="I16" s="1">
        <v>150</v>
      </c>
      <c r="J16" s="1">
        <v>125</v>
      </c>
      <c r="P16" s="1">
        <v>2</v>
      </c>
      <c r="Q16" s="17" t="s">
        <v>33</v>
      </c>
      <c r="R16" s="1">
        <v>750</v>
      </c>
      <c r="S16" s="1">
        <v>375</v>
      </c>
      <c r="T16" s="1">
        <v>250</v>
      </c>
      <c r="U16" s="1">
        <v>190</v>
      </c>
      <c r="V16" s="1">
        <v>150</v>
      </c>
      <c r="W16" s="1">
        <v>125</v>
      </c>
    </row>
    <row r="17" spans="3:23" x14ac:dyDescent="0.35">
      <c r="C17" s="1">
        <v>3</v>
      </c>
      <c r="D17" s="1" t="s">
        <v>159</v>
      </c>
      <c r="E17" s="1">
        <v>20</v>
      </c>
      <c r="F17" s="1">
        <v>20</v>
      </c>
      <c r="G17" s="1">
        <v>20</v>
      </c>
      <c r="H17" s="1">
        <v>20</v>
      </c>
      <c r="I17" s="1">
        <v>20</v>
      </c>
      <c r="J17" s="1">
        <v>20</v>
      </c>
      <c r="P17" s="1"/>
      <c r="Q17" s="17" t="s">
        <v>160</v>
      </c>
      <c r="R17" s="1">
        <v>20</v>
      </c>
      <c r="S17" s="1">
        <v>20</v>
      </c>
      <c r="T17" s="1">
        <v>20</v>
      </c>
      <c r="U17" s="1">
        <v>20</v>
      </c>
      <c r="V17" s="1">
        <v>20</v>
      </c>
      <c r="W17" s="1">
        <v>20</v>
      </c>
    </row>
    <row r="18" spans="3:23" x14ac:dyDescent="0.35">
      <c r="C18" s="1">
        <v>4</v>
      </c>
      <c r="D18" s="1" t="s">
        <v>22</v>
      </c>
      <c r="E18" s="1">
        <v>30</v>
      </c>
      <c r="F18" s="1">
        <v>30</v>
      </c>
      <c r="G18" s="1">
        <v>20</v>
      </c>
      <c r="H18" s="1">
        <v>20</v>
      </c>
      <c r="I18" s="1">
        <v>15</v>
      </c>
      <c r="J18" s="1">
        <v>15</v>
      </c>
      <c r="P18" s="1">
        <v>3</v>
      </c>
      <c r="Q18" s="17" t="s">
        <v>34</v>
      </c>
      <c r="R18" s="1">
        <v>30</v>
      </c>
      <c r="S18" s="1">
        <v>30</v>
      </c>
      <c r="T18" s="1">
        <v>20</v>
      </c>
      <c r="U18" s="1">
        <v>20</v>
      </c>
      <c r="V18" s="1">
        <v>15</v>
      </c>
      <c r="W18" s="1">
        <v>15</v>
      </c>
    </row>
    <row r="19" spans="3:23" x14ac:dyDescent="0.35">
      <c r="C19" s="1"/>
      <c r="D19" s="12" t="s">
        <v>14</v>
      </c>
      <c r="E19" s="13">
        <f t="shared" ref="E19:J19" si="1">SUM(E15:E18)</f>
        <v>1000</v>
      </c>
      <c r="F19" s="13">
        <f t="shared" si="1"/>
        <v>625</v>
      </c>
      <c r="G19" s="13">
        <f t="shared" si="1"/>
        <v>490</v>
      </c>
      <c r="H19" s="13">
        <f t="shared" si="1"/>
        <v>430</v>
      </c>
      <c r="I19" s="13">
        <f t="shared" si="1"/>
        <v>385</v>
      </c>
      <c r="J19" s="13">
        <f t="shared" si="1"/>
        <v>360</v>
      </c>
      <c r="P19" s="1"/>
      <c r="Q19" s="12" t="s">
        <v>14</v>
      </c>
      <c r="R19" s="13">
        <f t="shared" ref="R19:W19" si="2">SUM(R15:R18)</f>
        <v>1200</v>
      </c>
      <c r="S19" s="13">
        <f t="shared" si="2"/>
        <v>825</v>
      </c>
      <c r="T19" s="13">
        <f t="shared" si="2"/>
        <v>690</v>
      </c>
      <c r="U19" s="13">
        <f t="shared" si="2"/>
        <v>630</v>
      </c>
      <c r="V19" s="13">
        <f t="shared" si="2"/>
        <v>585</v>
      </c>
      <c r="W19" s="13">
        <f t="shared" si="2"/>
        <v>560</v>
      </c>
    </row>
    <row r="20" spans="3:23" x14ac:dyDescent="0.35">
      <c r="C2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H19"/>
  <sheetViews>
    <sheetView topLeftCell="P1" workbookViewId="0">
      <selection activeCell="D16" sqref="D16:I16"/>
    </sheetView>
  </sheetViews>
  <sheetFormatPr defaultRowHeight="14.5" x14ac:dyDescent="0.35"/>
  <cols>
    <col min="3" max="3" width="16" customWidth="1"/>
  </cols>
  <sheetData>
    <row r="2" spans="2:34" x14ac:dyDescent="0.35">
      <c r="D2" s="36" t="s">
        <v>43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2:34" x14ac:dyDescent="0.35"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2:34" x14ac:dyDescent="0.35">
      <c r="B4" s="1"/>
      <c r="C4" s="1"/>
      <c r="D4" s="1"/>
      <c r="E4" s="2" t="s">
        <v>0</v>
      </c>
      <c r="F4" s="3"/>
      <c r="G4" s="3"/>
      <c r="H4" s="3"/>
      <c r="I4" s="3"/>
      <c r="J4" s="3"/>
      <c r="K4" s="4" t="s">
        <v>1</v>
      </c>
      <c r="L4" s="5"/>
      <c r="M4" s="5"/>
      <c r="N4" s="5"/>
      <c r="O4" s="5"/>
      <c r="P4" s="5"/>
      <c r="Q4" s="6" t="s">
        <v>155</v>
      </c>
      <c r="R4" s="7"/>
      <c r="S4" s="7"/>
      <c r="T4" s="7"/>
      <c r="U4" s="7"/>
      <c r="V4" s="7"/>
      <c r="W4" s="8" t="s">
        <v>154</v>
      </c>
      <c r="X4" s="9"/>
      <c r="Y4" s="9"/>
      <c r="Z4" s="9"/>
      <c r="AA4" s="9"/>
      <c r="AB4" s="9"/>
      <c r="AC4" s="10" t="s">
        <v>24</v>
      </c>
      <c r="AD4" s="11"/>
      <c r="AE4" s="11"/>
      <c r="AF4" s="11"/>
      <c r="AG4" s="19"/>
      <c r="AH4" s="26"/>
    </row>
    <row r="5" spans="2:34" x14ac:dyDescent="0.35">
      <c r="B5" s="1"/>
      <c r="C5" s="1"/>
      <c r="D5" s="1"/>
      <c r="E5" s="3" t="s">
        <v>5</v>
      </c>
      <c r="F5" s="3"/>
      <c r="G5" s="3"/>
      <c r="H5" s="3"/>
      <c r="I5" s="3"/>
      <c r="J5" s="3"/>
      <c r="K5" s="5" t="s">
        <v>6</v>
      </c>
      <c r="L5" s="5"/>
      <c r="M5" s="5"/>
      <c r="N5" s="5"/>
      <c r="O5" s="5"/>
      <c r="P5" s="5"/>
      <c r="Q5" s="7" t="s">
        <v>7</v>
      </c>
      <c r="R5" s="7"/>
      <c r="S5" s="7"/>
      <c r="T5" s="7"/>
      <c r="U5" s="7"/>
      <c r="V5" s="7"/>
      <c r="W5" s="9" t="s">
        <v>8</v>
      </c>
      <c r="X5" s="9"/>
      <c r="Y5" s="9"/>
      <c r="Z5" s="9"/>
      <c r="AA5" s="9"/>
      <c r="AB5" s="9"/>
      <c r="AC5" s="10" t="s">
        <v>9</v>
      </c>
      <c r="AD5" s="11"/>
      <c r="AE5" s="11"/>
      <c r="AF5" s="11"/>
      <c r="AG5" s="22"/>
      <c r="AH5" s="26"/>
    </row>
    <row r="6" spans="2:34" x14ac:dyDescent="0.35">
      <c r="B6" s="1" t="s">
        <v>10</v>
      </c>
      <c r="C6" s="1" t="s">
        <v>11</v>
      </c>
      <c r="D6" s="1" t="s">
        <v>12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5">
        <v>1</v>
      </c>
      <c r="L6" s="5">
        <v>2</v>
      </c>
      <c r="M6" s="5">
        <v>3</v>
      </c>
      <c r="N6" s="5">
        <v>4</v>
      </c>
      <c r="O6" s="5">
        <v>5</v>
      </c>
      <c r="P6" s="5">
        <v>6</v>
      </c>
      <c r="Q6" s="7">
        <v>1</v>
      </c>
      <c r="R6" s="7">
        <v>2</v>
      </c>
      <c r="S6" s="7">
        <v>3</v>
      </c>
      <c r="T6" s="7">
        <v>4</v>
      </c>
      <c r="U6" s="7">
        <v>5</v>
      </c>
      <c r="V6" s="7">
        <v>6</v>
      </c>
      <c r="W6" s="9">
        <v>1</v>
      </c>
      <c r="X6" s="9">
        <v>2</v>
      </c>
      <c r="Y6" s="9">
        <v>3</v>
      </c>
      <c r="Z6" s="9">
        <v>4</v>
      </c>
      <c r="AA6" s="9">
        <v>5</v>
      </c>
      <c r="AB6" s="9">
        <v>6</v>
      </c>
      <c r="AC6" s="11">
        <v>1</v>
      </c>
      <c r="AD6" s="11">
        <v>2</v>
      </c>
      <c r="AE6" s="11">
        <v>3</v>
      </c>
      <c r="AF6" s="11">
        <v>4</v>
      </c>
      <c r="AG6" s="11">
        <v>5</v>
      </c>
      <c r="AH6" s="23">
        <v>6</v>
      </c>
    </row>
    <row r="7" spans="2:34" x14ac:dyDescent="0.35">
      <c r="B7" s="1">
        <v>1</v>
      </c>
      <c r="C7" s="1" t="s">
        <v>153</v>
      </c>
      <c r="D7" s="1">
        <v>2</v>
      </c>
      <c r="E7" s="3">
        <v>389</v>
      </c>
      <c r="F7" s="3">
        <v>300</v>
      </c>
      <c r="G7" s="3">
        <v>254</v>
      </c>
      <c r="H7" s="3">
        <v>300</v>
      </c>
      <c r="I7" s="3">
        <v>272</v>
      </c>
      <c r="J7" s="3">
        <v>300</v>
      </c>
      <c r="K7" s="3">
        <v>258</v>
      </c>
      <c r="L7" s="3">
        <v>198</v>
      </c>
      <c r="M7" s="3">
        <v>169</v>
      </c>
      <c r="N7" s="3">
        <v>198</v>
      </c>
      <c r="O7" s="3">
        <v>181</v>
      </c>
      <c r="P7" s="3">
        <v>198</v>
      </c>
      <c r="Q7" s="3">
        <v>387</v>
      </c>
      <c r="R7" s="3">
        <v>298</v>
      </c>
      <c r="S7" s="3">
        <v>253</v>
      </c>
      <c r="T7" s="3">
        <v>298</v>
      </c>
      <c r="U7" s="3">
        <v>271</v>
      </c>
      <c r="V7" s="3">
        <v>298</v>
      </c>
      <c r="W7" s="3">
        <v>389</v>
      </c>
      <c r="X7" s="3">
        <v>300</v>
      </c>
      <c r="Y7" s="3">
        <v>254</v>
      </c>
      <c r="Z7" s="3">
        <v>300</v>
      </c>
      <c r="AA7" s="3">
        <v>272</v>
      </c>
      <c r="AB7" s="3">
        <v>300</v>
      </c>
      <c r="AC7" s="3">
        <v>435</v>
      </c>
      <c r="AD7" s="3">
        <v>346</v>
      </c>
      <c r="AE7" s="3">
        <v>300</v>
      </c>
      <c r="AF7" s="3">
        <v>346</v>
      </c>
      <c r="AG7" s="3">
        <v>318</v>
      </c>
      <c r="AH7" s="3">
        <v>346</v>
      </c>
    </row>
    <row r="8" spans="2:34" x14ac:dyDescent="0.35">
      <c r="B8" s="1"/>
      <c r="C8" s="12" t="s">
        <v>152</v>
      </c>
      <c r="D8" s="1"/>
      <c r="E8" s="3">
        <v>389</v>
      </c>
      <c r="F8" s="3">
        <v>300</v>
      </c>
      <c r="G8" s="3">
        <v>254</v>
      </c>
      <c r="H8" s="3">
        <v>300</v>
      </c>
      <c r="I8" s="3">
        <v>272</v>
      </c>
      <c r="J8" s="3">
        <v>300</v>
      </c>
      <c r="K8" s="3">
        <v>258</v>
      </c>
      <c r="L8" s="3">
        <v>198</v>
      </c>
      <c r="M8" s="3">
        <v>169</v>
      </c>
      <c r="N8" s="3">
        <v>198</v>
      </c>
      <c r="O8" s="3">
        <v>181</v>
      </c>
      <c r="P8" s="3">
        <v>198</v>
      </c>
      <c r="Q8" s="3">
        <v>387</v>
      </c>
      <c r="R8" s="3">
        <v>298</v>
      </c>
      <c r="S8" s="3">
        <v>253</v>
      </c>
      <c r="T8" s="3">
        <v>298</v>
      </c>
      <c r="U8" s="3">
        <v>271</v>
      </c>
      <c r="V8" s="3">
        <v>298</v>
      </c>
      <c r="W8" s="3">
        <v>389</v>
      </c>
      <c r="X8" s="3">
        <v>300</v>
      </c>
      <c r="Y8" s="3">
        <v>254</v>
      </c>
      <c r="Z8" s="3">
        <v>300</v>
      </c>
      <c r="AA8" s="3">
        <v>272</v>
      </c>
      <c r="AB8" s="3">
        <v>300</v>
      </c>
      <c r="AC8" s="3">
        <v>435</v>
      </c>
      <c r="AD8" s="3">
        <v>346</v>
      </c>
      <c r="AE8" s="3">
        <v>300</v>
      </c>
      <c r="AF8" s="3">
        <v>346</v>
      </c>
      <c r="AG8" s="3">
        <v>318</v>
      </c>
      <c r="AH8" s="3">
        <v>346</v>
      </c>
    </row>
    <row r="9" spans="2:34" x14ac:dyDescent="0.35">
      <c r="B9" s="1"/>
      <c r="C9" s="12" t="s">
        <v>15</v>
      </c>
      <c r="D9" s="1"/>
      <c r="E9" s="13">
        <v>1410</v>
      </c>
      <c r="F9" s="13">
        <v>1035</v>
      </c>
      <c r="G9" s="13">
        <v>900</v>
      </c>
      <c r="H9" s="13">
        <v>840</v>
      </c>
      <c r="I9" s="13">
        <v>795</v>
      </c>
      <c r="J9" s="13">
        <v>770</v>
      </c>
      <c r="K9" s="13">
        <v>1410</v>
      </c>
      <c r="L9" s="13">
        <v>1035</v>
      </c>
      <c r="M9" s="13">
        <v>900</v>
      </c>
      <c r="N9" s="13">
        <v>840</v>
      </c>
      <c r="O9" s="13">
        <v>795</v>
      </c>
      <c r="P9" s="13">
        <v>770</v>
      </c>
      <c r="Q9" s="13">
        <v>1410</v>
      </c>
      <c r="R9" s="13">
        <v>1035</v>
      </c>
      <c r="S9" s="13">
        <v>900</v>
      </c>
      <c r="T9" s="13">
        <v>840</v>
      </c>
      <c r="U9" s="13">
        <v>795</v>
      </c>
      <c r="V9" s="13">
        <v>770</v>
      </c>
      <c r="W9" s="13">
        <v>1410</v>
      </c>
      <c r="X9" s="13">
        <v>1035</v>
      </c>
      <c r="Y9" s="13">
        <v>900</v>
      </c>
      <c r="Z9" s="13">
        <v>840</v>
      </c>
      <c r="AA9" s="13">
        <v>795</v>
      </c>
      <c r="AB9" s="13">
        <v>770</v>
      </c>
      <c r="AC9" s="13">
        <v>1410</v>
      </c>
      <c r="AD9" s="13">
        <v>1035</v>
      </c>
      <c r="AE9" s="13">
        <v>900</v>
      </c>
      <c r="AF9" s="13">
        <v>840</v>
      </c>
      <c r="AG9" s="13">
        <v>795</v>
      </c>
      <c r="AH9" s="13">
        <v>770</v>
      </c>
    </row>
    <row r="10" spans="2:34" x14ac:dyDescent="0.35">
      <c r="B10" s="1"/>
      <c r="C10" s="14" t="s">
        <v>14</v>
      </c>
      <c r="D10" s="1"/>
      <c r="E10" s="13">
        <f>SUM(E8:E9)</f>
        <v>1799</v>
      </c>
      <c r="F10" s="13">
        <f t="shared" ref="F10:AG10" si="0">SUM(F8:F9)</f>
        <v>1335</v>
      </c>
      <c r="G10" s="13">
        <f t="shared" si="0"/>
        <v>1154</v>
      </c>
      <c r="H10" s="13">
        <f t="shared" si="0"/>
        <v>1140</v>
      </c>
      <c r="I10" s="13">
        <f t="shared" si="0"/>
        <v>1067</v>
      </c>
      <c r="J10" s="13">
        <f t="shared" si="0"/>
        <v>1070</v>
      </c>
      <c r="K10" s="13">
        <f t="shared" si="0"/>
        <v>1668</v>
      </c>
      <c r="L10" s="13">
        <f t="shared" si="0"/>
        <v>1233</v>
      </c>
      <c r="M10" s="13">
        <f t="shared" si="0"/>
        <v>1069</v>
      </c>
      <c r="N10" s="13">
        <f t="shared" si="0"/>
        <v>1038</v>
      </c>
      <c r="O10" s="13">
        <f t="shared" si="0"/>
        <v>976</v>
      </c>
      <c r="P10" s="13">
        <f t="shared" si="0"/>
        <v>968</v>
      </c>
      <c r="Q10" s="13">
        <f t="shared" si="0"/>
        <v>1797</v>
      </c>
      <c r="R10" s="13">
        <f t="shared" si="0"/>
        <v>1333</v>
      </c>
      <c r="S10" s="13">
        <f t="shared" si="0"/>
        <v>1153</v>
      </c>
      <c r="T10" s="13">
        <f t="shared" si="0"/>
        <v>1138</v>
      </c>
      <c r="U10" s="13">
        <f t="shared" si="0"/>
        <v>1066</v>
      </c>
      <c r="V10" s="13">
        <f t="shared" si="0"/>
        <v>1068</v>
      </c>
      <c r="W10" s="13">
        <f t="shared" si="0"/>
        <v>1799</v>
      </c>
      <c r="X10" s="13">
        <f t="shared" si="0"/>
        <v>1335</v>
      </c>
      <c r="Y10" s="13">
        <f t="shared" si="0"/>
        <v>1154</v>
      </c>
      <c r="Z10" s="13">
        <f t="shared" si="0"/>
        <v>1140</v>
      </c>
      <c r="AA10" s="13">
        <f t="shared" si="0"/>
        <v>1067</v>
      </c>
      <c r="AB10" s="13">
        <f t="shared" si="0"/>
        <v>1070</v>
      </c>
      <c r="AC10" s="13">
        <f t="shared" si="0"/>
        <v>1845</v>
      </c>
      <c r="AD10" s="13">
        <f t="shared" si="0"/>
        <v>1381</v>
      </c>
      <c r="AE10" s="13">
        <f t="shared" si="0"/>
        <v>1200</v>
      </c>
      <c r="AF10" s="13">
        <f t="shared" si="0"/>
        <v>1186</v>
      </c>
      <c r="AG10" s="13">
        <f t="shared" si="0"/>
        <v>1113</v>
      </c>
      <c r="AH10" s="21">
        <f>SUM(AH8:AH9)</f>
        <v>1116</v>
      </c>
    </row>
    <row r="11" spans="2:34" x14ac:dyDescent="0.35">
      <c r="C11" s="15"/>
    </row>
    <row r="12" spans="2:34" x14ac:dyDescent="0.35">
      <c r="E12" s="16" t="s">
        <v>16</v>
      </c>
    </row>
    <row r="13" spans="2:34" x14ac:dyDescent="0.35">
      <c r="C13" s="16" t="s">
        <v>17</v>
      </c>
      <c r="P13" s="16" t="s">
        <v>18</v>
      </c>
      <c r="Q13" s="16"/>
      <c r="W13" s="16"/>
      <c r="AC13" s="27"/>
    </row>
    <row r="14" spans="2:34" x14ac:dyDescent="0.35">
      <c r="B14" s="1" t="s">
        <v>10</v>
      </c>
      <c r="C14" s="1" t="s">
        <v>19</v>
      </c>
      <c r="D14" s="1">
        <v>1</v>
      </c>
      <c r="E14" s="1">
        <v>2</v>
      </c>
      <c r="F14" s="1">
        <v>3</v>
      </c>
      <c r="G14" s="1">
        <v>4</v>
      </c>
      <c r="H14" s="1">
        <v>5</v>
      </c>
      <c r="I14" s="1">
        <v>6</v>
      </c>
      <c r="O14" s="1" t="s">
        <v>10</v>
      </c>
      <c r="P14" s="1" t="s">
        <v>19</v>
      </c>
      <c r="Q14" s="1"/>
      <c r="R14" s="1"/>
      <c r="S14" s="1"/>
      <c r="T14" s="1"/>
      <c r="U14" s="1"/>
      <c r="V14" s="1"/>
    </row>
    <row r="15" spans="2:34" x14ac:dyDescent="0.35">
      <c r="B15" s="1">
        <v>1</v>
      </c>
      <c r="C15" s="1" t="s">
        <v>20</v>
      </c>
      <c r="D15" s="1">
        <v>180</v>
      </c>
      <c r="E15" s="1">
        <v>180</v>
      </c>
      <c r="F15" s="1">
        <v>180</v>
      </c>
      <c r="G15" s="1">
        <v>180</v>
      </c>
      <c r="H15" s="1">
        <v>180</v>
      </c>
      <c r="I15" s="1">
        <v>180</v>
      </c>
      <c r="O15" s="1">
        <v>1</v>
      </c>
      <c r="P15" s="17"/>
      <c r="Q15" s="1"/>
      <c r="R15" s="1"/>
      <c r="S15" s="1"/>
      <c r="T15" s="1"/>
      <c r="U15" s="1"/>
      <c r="V15" s="1"/>
    </row>
    <row r="16" spans="2:34" x14ac:dyDescent="0.35">
      <c r="B16" s="1">
        <v>2</v>
      </c>
      <c r="C16" s="1" t="s">
        <v>32</v>
      </c>
      <c r="D16" s="1">
        <v>750</v>
      </c>
      <c r="E16" s="1">
        <v>375</v>
      </c>
      <c r="F16" s="1">
        <v>250</v>
      </c>
      <c r="G16" s="1">
        <v>190</v>
      </c>
      <c r="H16" s="1">
        <v>150</v>
      </c>
      <c r="I16" s="1">
        <v>125</v>
      </c>
      <c r="O16" s="1">
        <v>2</v>
      </c>
      <c r="P16" s="17"/>
      <c r="Q16" s="1"/>
      <c r="R16" s="1"/>
      <c r="S16" s="1"/>
      <c r="T16" s="1"/>
      <c r="U16" s="1"/>
      <c r="V16" s="1"/>
    </row>
    <row r="17" spans="2:22" x14ac:dyDescent="0.35">
      <c r="B17" s="1">
        <v>3</v>
      </c>
      <c r="C17" s="1" t="s">
        <v>22</v>
      </c>
      <c r="D17" s="1">
        <v>30</v>
      </c>
      <c r="E17" s="1">
        <v>30</v>
      </c>
      <c r="F17" s="1">
        <v>20</v>
      </c>
      <c r="G17" s="1">
        <v>20</v>
      </c>
      <c r="H17" s="1">
        <v>15</v>
      </c>
      <c r="I17" s="1">
        <v>15</v>
      </c>
      <c r="O17" s="1">
        <v>3</v>
      </c>
      <c r="P17" s="17"/>
      <c r="Q17" s="1"/>
      <c r="R17" s="1"/>
      <c r="S17" s="1"/>
      <c r="T17" s="1"/>
      <c r="U17" s="1"/>
      <c r="V17" s="1"/>
    </row>
    <row r="18" spans="2:22" x14ac:dyDescent="0.35">
      <c r="B18" s="1">
        <v>4</v>
      </c>
      <c r="C18" s="1" t="s">
        <v>44</v>
      </c>
      <c r="D18" s="1">
        <v>450</v>
      </c>
      <c r="E18" s="1">
        <v>450</v>
      </c>
      <c r="F18" s="1">
        <v>450</v>
      </c>
      <c r="G18" s="1">
        <v>450</v>
      </c>
      <c r="H18" s="1">
        <v>450</v>
      </c>
      <c r="I18" s="1">
        <v>450</v>
      </c>
      <c r="O18" s="1"/>
      <c r="P18" s="17"/>
      <c r="Q18" s="1"/>
      <c r="R18" s="1"/>
      <c r="S18" s="1"/>
      <c r="T18" s="1"/>
      <c r="U18" s="1"/>
      <c r="V18" s="1"/>
    </row>
    <row r="19" spans="2:22" x14ac:dyDescent="0.35">
      <c r="B19" s="1"/>
      <c r="C19" s="12" t="s">
        <v>14</v>
      </c>
      <c r="D19" s="13">
        <f t="shared" ref="D19:I19" si="1">SUM(D15:D18)</f>
        <v>1410</v>
      </c>
      <c r="E19" s="13">
        <f t="shared" si="1"/>
        <v>1035</v>
      </c>
      <c r="F19" s="13">
        <f t="shared" si="1"/>
        <v>900</v>
      </c>
      <c r="G19" s="13">
        <f t="shared" si="1"/>
        <v>840</v>
      </c>
      <c r="H19" s="13">
        <f t="shared" si="1"/>
        <v>795</v>
      </c>
      <c r="I19" s="13">
        <f t="shared" si="1"/>
        <v>770</v>
      </c>
      <c r="O19" s="1"/>
      <c r="P19" s="12" t="s">
        <v>14</v>
      </c>
      <c r="Q19" s="18"/>
      <c r="R19" s="18"/>
      <c r="S19" s="18"/>
      <c r="T19" s="18"/>
      <c r="U19" s="18"/>
      <c r="V19" s="18"/>
    </row>
  </sheetData>
  <mergeCells count="1">
    <mergeCell ref="D2: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N23"/>
  <sheetViews>
    <sheetView workbookViewId="0">
      <selection activeCell="AI10" sqref="AI10:AN10"/>
    </sheetView>
  </sheetViews>
  <sheetFormatPr defaultRowHeight="14.5" x14ac:dyDescent="0.35"/>
  <cols>
    <col min="3" max="3" width="19.1796875" customWidth="1"/>
  </cols>
  <sheetData>
    <row r="2" spans="2:40" x14ac:dyDescent="0.35">
      <c r="H2" s="16" t="s">
        <v>60</v>
      </c>
      <c r="I2" s="16"/>
      <c r="J2" s="16"/>
      <c r="K2" s="16"/>
    </row>
    <row r="4" spans="2:40" x14ac:dyDescent="0.35">
      <c r="B4" s="1"/>
      <c r="C4" s="1"/>
      <c r="D4" s="1"/>
      <c r="E4" s="2" t="s">
        <v>0</v>
      </c>
      <c r="F4" s="3"/>
      <c r="G4" s="3"/>
      <c r="H4" s="3"/>
      <c r="I4" s="3"/>
      <c r="J4" s="3"/>
      <c r="K4" s="4" t="s">
        <v>45</v>
      </c>
      <c r="L4" s="5"/>
      <c r="M4" s="5"/>
      <c r="N4" s="5"/>
      <c r="O4" s="5"/>
      <c r="P4" s="5"/>
      <c r="Q4" s="6" t="s">
        <v>46</v>
      </c>
      <c r="R4" s="7"/>
      <c r="S4" s="7"/>
      <c r="T4" s="7"/>
      <c r="U4" s="7"/>
      <c r="V4" s="7"/>
      <c r="W4" s="6" t="s">
        <v>156</v>
      </c>
      <c r="X4" s="7"/>
      <c r="Y4" s="7"/>
      <c r="Z4" s="7"/>
      <c r="AA4" s="7"/>
      <c r="AB4" s="7"/>
      <c r="AC4" s="8" t="s">
        <v>157</v>
      </c>
      <c r="AD4" s="9"/>
      <c r="AE4" s="9"/>
      <c r="AF4" s="9"/>
      <c r="AG4" s="9"/>
      <c r="AH4" s="9"/>
      <c r="AI4" s="10" t="s">
        <v>62</v>
      </c>
      <c r="AJ4" s="11"/>
      <c r="AK4" s="11"/>
      <c r="AL4" s="11"/>
      <c r="AM4" s="11"/>
      <c r="AN4" s="11"/>
    </row>
    <row r="5" spans="2:40" x14ac:dyDescent="0.35">
      <c r="B5" s="1"/>
      <c r="C5" s="1"/>
      <c r="D5" s="1"/>
      <c r="E5" s="3" t="s">
        <v>5</v>
      </c>
      <c r="F5" s="3"/>
      <c r="G5" s="3"/>
      <c r="H5" s="3"/>
      <c r="I5" s="3"/>
      <c r="J5" s="3"/>
      <c r="K5" s="5" t="s">
        <v>6</v>
      </c>
      <c r="L5" s="5"/>
      <c r="M5" s="5"/>
      <c r="N5" s="5"/>
      <c r="O5" s="5"/>
      <c r="P5" s="5"/>
      <c r="Q5" s="7" t="s">
        <v>49</v>
      </c>
      <c r="R5" s="7"/>
      <c r="S5" s="7"/>
      <c r="T5" s="7"/>
      <c r="U5" s="7"/>
      <c r="V5" s="7"/>
      <c r="W5" s="7" t="s">
        <v>7</v>
      </c>
      <c r="X5" s="7"/>
      <c r="Y5" s="7"/>
      <c r="Z5" s="7"/>
      <c r="AA5" s="7"/>
      <c r="AB5" s="7"/>
      <c r="AC5" s="9" t="s">
        <v>8</v>
      </c>
      <c r="AD5" s="9"/>
      <c r="AE5" s="9"/>
      <c r="AF5" s="9"/>
      <c r="AG5" s="9"/>
      <c r="AH5" s="9"/>
      <c r="AI5" s="10" t="s">
        <v>9</v>
      </c>
      <c r="AJ5" s="11"/>
      <c r="AK5" s="11"/>
      <c r="AL5" s="11"/>
      <c r="AM5" s="11"/>
      <c r="AN5" s="11"/>
    </row>
    <row r="6" spans="2:40" x14ac:dyDescent="0.35">
      <c r="B6" s="1" t="s">
        <v>10</v>
      </c>
      <c r="C6" s="1" t="s">
        <v>11</v>
      </c>
      <c r="D6" s="1" t="s">
        <v>12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5">
        <v>1</v>
      </c>
      <c r="L6" s="5">
        <v>2</v>
      </c>
      <c r="M6" s="5">
        <v>3</v>
      </c>
      <c r="N6" s="5">
        <v>4</v>
      </c>
      <c r="O6" s="5">
        <v>5</v>
      </c>
      <c r="P6" s="5">
        <v>6</v>
      </c>
      <c r="Q6" s="7">
        <v>1</v>
      </c>
      <c r="R6" s="7">
        <v>2</v>
      </c>
      <c r="S6" s="7">
        <v>3</v>
      </c>
      <c r="T6" s="7">
        <v>4</v>
      </c>
      <c r="U6" s="7">
        <v>5</v>
      </c>
      <c r="V6" s="7">
        <v>6</v>
      </c>
      <c r="W6" s="7">
        <v>1</v>
      </c>
      <c r="X6" s="7">
        <v>2</v>
      </c>
      <c r="Y6" s="7">
        <v>3</v>
      </c>
      <c r="Z6" s="7">
        <v>4</v>
      </c>
      <c r="AA6" s="7">
        <v>5</v>
      </c>
      <c r="AB6" s="7">
        <v>6</v>
      </c>
      <c r="AC6" s="9">
        <v>1</v>
      </c>
      <c r="AD6" s="9">
        <v>2</v>
      </c>
      <c r="AE6" s="9">
        <v>3</v>
      </c>
      <c r="AF6" s="9">
        <v>4</v>
      </c>
      <c r="AG6" s="9">
        <v>5</v>
      </c>
      <c r="AH6" s="9">
        <v>6</v>
      </c>
      <c r="AI6" s="11">
        <v>1</v>
      </c>
      <c r="AJ6" s="11">
        <v>2</v>
      </c>
      <c r="AK6" s="11">
        <v>3</v>
      </c>
      <c r="AL6" s="11">
        <v>4</v>
      </c>
      <c r="AM6" s="11">
        <v>5</v>
      </c>
      <c r="AN6" s="11">
        <v>6</v>
      </c>
    </row>
    <row r="7" spans="2:40" x14ac:dyDescent="0.35">
      <c r="B7" s="1">
        <v>1</v>
      </c>
      <c r="C7" s="1" t="s">
        <v>61</v>
      </c>
      <c r="D7" s="1">
        <v>1</v>
      </c>
      <c r="E7" s="3">
        <v>186</v>
      </c>
      <c r="F7" s="3">
        <v>143</v>
      </c>
      <c r="G7" s="3">
        <v>122</v>
      </c>
      <c r="H7" s="3">
        <v>143</v>
      </c>
      <c r="I7" s="3">
        <v>130</v>
      </c>
      <c r="J7" s="3">
        <v>143</v>
      </c>
      <c r="K7" s="3">
        <v>135</v>
      </c>
      <c r="L7" s="3">
        <v>104</v>
      </c>
      <c r="M7" s="3">
        <v>88</v>
      </c>
      <c r="N7" s="3">
        <v>104</v>
      </c>
      <c r="O7" s="3">
        <v>94</v>
      </c>
      <c r="P7" s="3">
        <v>104</v>
      </c>
      <c r="Q7" s="3">
        <v>186</v>
      </c>
      <c r="R7" s="3">
        <v>143</v>
      </c>
      <c r="S7" s="3">
        <v>122</v>
      </c>
      <c r="T7" s="3">
        <v>143</v>
      </c>
      <c r="U7" s="3">
        <v>130</v>
      </c>
      <c r="V7" s="3">
        <v>143</v>
      </c>
      <c r="W7" s="3">
        <v>284</v>
      </c>
      <c r="X7" s="3">
        <v>219</v>
      </c>
      <c r="Y7" s="3">
        <v>186</v>
      </c>
      <c r="Z7" s="3">
        <v>219</v>
      </c>
      <c r="AA7" s="3">
        <v>199</v>
      </c>
      <c r="AB7" s="3">
        <v>219</v>
      </c>
      <c r="AC7" s="3">
        <v>186</v>
      </c>
      <c r="AD7" s="3">
        <v>143</v>
      </c>
      <c r="AE7" s="3">
        <v>122</v>
      </c>
      <c r="AF7" s="3">
        <v>143</v>
      </c>
      <c r="AG7" s="3">
        <v>130</v>
      </c>
      <c r="AH7" s="3">
        <v>143</v>
      </c>
      <c r="AI7" s="3">
        <v>330</v>
      </c>
      <c r="AJ7" s="3">
        <v>265</v>
      </c>
      <c r="AK7" s="3">
        <v>232</v>
      </c>
      <c r="AL7" s="3">
        <v>265</v>
      </c>
      <c r="AM7" s="3">
        <v>245</v>
      </c>
      <c r="AN7" s="3">
        <v>265</v>
      </c>
    </row>
    <row r="8" spans="2:40" x14ac:dyDescent="0.35">
      <c r="B8" s="1">
        <v>2</v>
      </c>
      <c r="C8" s="1" t="s">
        <v>51</v>
      </c>
      <c r="D8" s="1">
        <v>2</v>
      </c>
      <c r="E8" s="3">
        <v>633</v>
      </c>
      <c r="F8" s="3">
        <v>420</v>
      </c>
      <c r="G8" s="3">
        <v>475</v>
      </c>
      <c r="H8" s="3">
        <v>420</v>
      </c>
      <c r="I8" s="3">
        <v>454</v>
      </c>
      <c r="J8" s="3">
        <v>420</v>
      </c>
      <c r="K8" s="3">
        <v>542</v>
      </c>
      <c r="L8" s="3">
        <v>363</v>
      </c>
      <c r="M8" s="3">
        <v>411</v>
      </c>
      <c r="N8" s="3">
        <v>363</v>
      </c>
      <c r="O8" s="3">
        <v>391</v>
      </c>
      <c r="P8" s="3">
        <v>363</v>
      </c>
      <c r="Q8" s="3">
        <v>1127</v>
      </c>
      <c r="R8" s="3">
        <v>748</v>
      </c>
      <c r="S8" s="3">
        <v>844</v>
      </c>
      <c r="T8" s="3">
        <v>748</v>
      </c>
      <c r="U8" s="3">
        <v>805</v>
      </c>
      <c r="V8" s="3">
        <v>748</v>
      </c>
      <c r="W8" s="3">
        <v>1127</v>
      </c>
      <c r="X8" s="3">
        <v>748</v>
      </c>
      <c r="Y8" s="3">
        <v>844</v>
      </c>
      <c r="Z8" s="3">
        <v>748</v>
      </c>
      <c r="AA8" s="3">
        <v>805</v>
      </c>
      <c r="AB8" s="3">
        <v>748</v>
      </c>
      <c r="AC8" s="3">
        <v>542</v>
      </c>
      <c r="AD8" s="3">
        <v>363</v>
      </c>
      <c r="AE8" s="3">
        <v>411</v>
      </c>
      <c r="AF8" s="3">
        <v>363</v>
      </c>
      <c r="AG8" s="3">
        <v>391</v>
      </c>
      <c r="AH8" s="3">
        <v>363</v>
      </c>
      <c r="AI8" s="3">
        <v>1127</v>
      </c>
      <c r="AJ8" s="3">
        <v>748</v>
      </c>
      <c r="AK8" s="3">
        <v>844</v>
      </c>
      <c r="AL8" s="3">
        <v>748</v>
      </c>
      <c r="AM8" s="3">
        <v>805</v>
      </c>
      <c r="AN8" s="3">
        <v>748</v>
      </c>
    </row>
    <row r="9" spans="2:40" x14ac:dyDescent="0.35">
      <c r="B9" s="1"/>
      <c r="C9" s="12" t="s">
        <v>52</v>
      </c>
      <c r="D9" s="1"/>
      <c r="E9" s="3">
        <f t="shared" ref="E9:AN9" si="0">SUM(E7:E8)</f>
        <v>819</v>
      </c>
      <c r="F9" s="3">
        <f t="shared" si="0"/>
        <v>563</v>
      </c>
      <c r="G9" s="3">
        <f t="shared" si="0"/>
        <v>597</v>
      </c>
      <c r="H9" s="3">
        <f t="shared" si="0"/>
        <v>563</v>
      </c>
      <c r="I9" s="3">
        <f t="shared" si="0"/>
        <v>584</v>
      </c>
      <c r="J9" s="3">
        <f t="shared" si="0"/>
        <v>563</v>
      </c>
      <c r="K9" s="3">
        <f t="shared" si="0"/>
        <v>677</v>
      </c>
      <c r="L9" s="3">
        <f t="shared" si="0"/>
        <v>467</v>
      </c>
      <c r="M9" s="3">
        <f t="shared" si="0"/>
        <v>499</v>
      </c>
      <c r="N9" s="3">
        <f t="shared" si="0"/>
        <v>467</v>
      </c>
      <c r="O9" s="3">
        <f t="shared" si="0"/>
        <v>485</v>
      </c>
      <c r="P9" s="3">
        <f t="shared" si="0"/>
        <v>467</v>
      </c>
      <c r="Q9" s="3">
        <f t="shared" si="0"/>
        <v>1313</v>
      </c>
      <c r="R9" s="3">
        <f t="shared" si="0"/>
        <v>891</v>
      </c>
      <c r="S9" s="3">
        <f t="shared" si="0"/>
        <v>966</v>
      </c>
      <c r="T9" s="3">
        <f t="shared" si="0"/>
        <v>891</v>
      </c>
      <c r="U9" s="3">
        <f t="shared" si="0"/>
        <v>935</v>
      </c>
      <c r="V9" s="3">
        <f t="shared" si="0"/>
        <v>891</v>
      </c>
      <c r="W9" s="3">
        <f t="shared" si="0"/>
        <v>1411</v>
      </c>
      <c r="X9" s="3">
        <f t="shared" si="0"/>
        <v>967</v>
      </c>
      <c r="Y9" s="3">
        <f t="shared" si="0"/>
        <v>1030</v>
      </c>
      <c r="Z9" s="3">
        <f t="shared" si="0"/>
        <v>967</v>
      </c>
      <c r="AA9" s="3">
        <f t="shared" si="0"/>
        <v>1004</v>
      </c>
      <c r="AB9" s="3">
        <f t="shared" si="0"/>
        <v>967</v>
      </c>
      <c r="AC9" s="3">
        <f t="shared" si="0"/>
        <v>728</v>
      </c>
      <c r="AD9" s="3">
        <f t="shared" si="0"/>
        <v>506</v>
      </c>
      <c r="AE9" s="3">
        <f t="shared" si="0"/>
        <v>533</v>
      </c>
      <c r="AF9" s="3">
        <f t="shared" si="0"/>
        <v>506</v>
      </c>
      <c r="AG9" s="3">
        <f t="shared" si="0"/>
        <v>521</v>
      </c>
      <c r="AH9" s="3">
        <f t="shared" si="0"/>
        <v>506</v>
      </c>
      <c r="AI9" s="3">
        <f t="shared" si="0"/>
        <v>1457</v>
      </c>
      <c r="AJ9" s="3">
        <f t="shared" si="0"/>
        <v>1013</v>
      </c>
      <c r="AK9" s="3">
        <f t="shared" si="0"/>
        <v>1076</v>
      </c>
      <c r="AL9" s="3">
        <f t="shared" si="0"/>
        <v>1013</v>
      </c>
      <c r="AM9" s="3">
        <f t="shared" si="0"/>
        <v>1050</v>
      </c>
      <c r="AN9" s="3">
        <f t="shared" si="0"/>
        <v>1013</v>
      </c>
    </row>
    <row r="10" spans="2:40" x14ac:dyDescent="0.35">
      <c r="B10" s="1"/>
      <c r="C10" s="12" t="s">
        <v>15</v>
      </c>
      <c r="D10" s="1"/>
      <c r="E10" s="13">
        <v>1340</v>
      </c>
      <c r="F10" s="13">
        <v>840</v>
      </c>
      <c r="G10" s="13">
        <v>665</v>
      </c>
      <c r="H10" s="13">
        <v>580</v>
      </c>
      <c r="I10" s="13">
        <v>525</v>
      </c>
      <c r="J10" s="13">
        <v>495</v>
      </c>
      <c r="K10" s="13">
        <v>1340</v>
      </c>
      <c r="L10" s="13">
        <v>840</v>
      </c>
      <c r="M10" s="13">
        <v>665</v>
      </c>
      <c r="N10" s="13">
        <v>580</v>
      </c>
      <c r="O10" s="13">
        <v>525</v>
      </c>
      <c r="P10" s="13">
        <v>495</v>
      </c>
      <c r="Q10" s="13">
        <v>1340</v>
      </c>
      <c r="R10" s="13">
        <v>840</v>
      </c>
      <c r="S10" s="13">
        <v>665</v>
      </c>
      <c r="T10" s="13">
        <v>580</v>
      </c>
      <c r="U10" s="13">
        <v>525</v>
      </c>
      <c r="V10" s="13">
        <v>495</v>
      </c>
      <c r="W10" s="13">
        <v>1540</v>
      </c>
      <c r="X10" s="13">
        <v>1040</v>
      </c>
      <c r="Y10" s="13">
        <v>865</v>
      </c>
      <c r="Z10" s="13">
        <v>780</v>
      </c>
      <c r="AA10" s="13">
        <v>725</v>
      </c>
      <c r="AB10" s="13">
        <v>695</v>
      </c>
      <c r="AC10" s="13">
        <v>1540</v>
      </c>
      <c r="AD10" s="13">
        <v>1040</v>
      </c>
      <c r="AE10" s="13">
        <v>865</v>
      </c>
      <c r="AF10" s="13">
        <v>780</v>
      </c>
      <c r="AG10" s="13">
        <v>725</v>
      </c>
      <c r="AH10" s="13">
        <v>695</v>
      </c>
      <c r="AI10" s="13">
        <v>1540</v>
      </c>
      <c r="AJ10" s="13">
        <v>1040</v>
      </c>
      <c r="AK10" s="13">
        <v>865</v>
      </c>
      <c r="AL10" s="13">
        <v>780</v>
      </c>
      <c r="AM10" s="13">
        <v>725</v>
      </c>
      <c r="AN10" s="13">
        <v>695</v>
      </c>
    </row>
    <row r="11" spans="2:40" x14ac:dyDescent="0.35">
      <c r="B11" s="1"/>
      <c r="C11" s="28" t="s">
        <v>53</v>
      </c>
      <c r="D11" s="1"/>
      <c r="E11" s="13">
        <f t="shared" ref="E11:AN11" si="1">SUM(E8:E10)</f>
        <v>2792</v>
      </c>
      <c r="F11" s="13">
        <f t="shared" si="1"/>
        <v>1823</v>
      </c>
      <c r="G11" s="13">
        <f t="shared" si="1"/>
        <v>1737</v>
      </c>
      <c r="H11" s="13">
        <f t="shared" si="1"/>
        <v>1563</v>
      </c>
      <c r="I11" s="13">
        <f t="shared" si="1"/>
        <v>1563</v>
      </c>
      <c r="J11" s="13">
        <f t="shared" si="1"/>
        <v>1478</v>
      </c>
      <c r="K11" s="13">
        <f t="shared" si="1"/>
        <v>2559</v>
      </c>
      <c r="L11" s="13">
        <f t="shared" si="1"/>
        <v>1670</v>
      </c>
      <c r="M11" s="13">
        <f t="shared" si="1"/>
        <v>1575</v>
      </c>
      <c r="N11" s="13">
        <f t="shared" si="1"/>
        <v>1410</v>
      </c>
      <c r="O11" s="13">
        <f t="shared" si="1"/>
        <v>1401</v>
      </c>
      <c r="P11" s="13">
        <f t="shared" si="1"/>
        <v>1325</v>
      </c>
      <c r="Q11" s="13">
        <f t="shared" si="1"/>
        <v>3780</v>
      </c>
      <c r="R11" s="13">
        <f t="shared" si="1"/>
        <v>2479</v>
      </c>
      <c r="S11" s="13">
        <f t="shared" si="1"/>
        <v>2475</v>
      </c>
      <c r="T11" s="13">
        <f t="shared" si="1"/>
        <v>2219</v>
      </c>
      <c r="U11" s="13">
        <f t="shared" si="1"/>
        <v>2265</v>
      </c>
      <c r="V11" s="13">
        <f t="shared" si="1"/>
        <v>2134</v>
      </c>
      <c r="W11" s="13">
        <f t="shared" si="1"/>
        <v>4078</v>
      </c>
      <c r="X11" s="13">
        <f t="shared" si="1"/>
        <v>2755</v>
      </c>
      <c r="Y11" s="13">
        <f t="shared" si="1"/>
        <v>2739</v>
      </c>
      <c r="Z11" s="13">
        <f t="shared" si="1"/>
        <v>2495</v>
      </c>
      <c r="AA11" s="13">
        <f t="shared" si="1"/>
        <v>2534</v>
      </c>
      <c r="AB11" s="13">
        <f t="shared" si="1"/>
        <v>2410</v>
      </c>
      <c r="AC11" s="13">
        <f t="shared" si="1"/>
        <v>2810</v>
      </c>
      <c r="AD11" s="13">
        <f t="shared" si="1"/>
        <v>1909</v>
      </c>
      <c r="AE11" s="13">
        <f t="shared" si="1"/>
        <v>1809</v>
      </c>
      <c r="AF11" s="13">
        <f t="shared" si="1"/>
        <v>1649</v>
      </c>
      <c r="AG11" s="13">
        <f t="shared" si="1"/>
        <v>1637</v>
      </c>
      <c r="AH11" s="13">
        <f t="shared" si="1"/>
        <v>1564</v>
      </c>
      <c r="AI11" s="13">
        <f t="shared" si="1"/>
        <v>4124</v>
      </c>
      <c r="AJ11" s="13">
        <f t="shared" si="1"/>
        <v>2801</v>
      </c>
      <c r="AK11" s="13">
        <f t="shared" si="1"/>
        <v>2785</v>
      </c>
      <c r="AL11" s="13">
        <f t="shared" si="1"/>
        <v>2541</v>
      </c>
      <c r="AM11" s="13">
        <f t="shared" si="1"/>
        <v>2580</v>
      </c>
      <c r="AN11" s="3">
        <f t="shared" si="1"/>
        <v>2456</v>
      </c>
    </row>
    <row r="12" spans="2:40" x14ac:dyDescent="0.35">
      <c r="B12" s="1"/>
      <c r="C12" s="14"/>
      <c r="D12" s="1"/>
    </row>
    <row r="13" spans="2:40" x14ac:dyDescent="0.35">
      <c r="C13" s="15"/>
    </row>
    <row r="14" spans="2:40" x14ac:dyDescent="0.35">
      <c r="C14" s="15"/>
      <c r="E14" s="16" t="s">
        <v>16</v>
      </c>
      <c r="J14" t="s">
        <v>54</v>
      </c>
    </row>
    <row r="15" spans="2:40" x14ac:dyDescent="0.35">
      <c r="C15" s="16" t="s">
        <v>17</v>
      </c>
      <c r="M15" s="16" t="s">
        <v>65</v>
      </c>
      <c r="AC15" s="16"/>
    </row>
    <row r="16" spans="2:40" x14ac:dyDescent="0.35">
      <c r="B16" t="s">
        <v>10</v>
      </c>
      <c r="C16" s="1" t="s">
        <v>19</v>
      </c>
      <c r="D16" s="1">
        <v>1</v>
      </c>
      <c r="E16" s="1">
        <v>2</v>
      </c>
      <c r="F16" s="1">
        <v>3</v>
      </c>
      <c r="G16" s="1">
        <v>4</v>
      </c>
      <c r="H16" s="1">
        <v>5</v>
      </c>
      <c r="I16" s="1">
        <v>6</v>
      </c>
      <c r="L16" t="s">
        <v>10</v>
      </c>
      <c r="M16" s="1" t="s">
        <v>19</v>
      </c>
      <c r="N16" s="1">
        <v>1</v>
      </c>
      <c r="O16" s="1">
        <v>2</v>
      </c>
      <c r="P16" s="1">
        <v>3</v>
      </c>
      <c r="Q16" s="1">
        <v>4</v>
      </c>
      <c r="R16" s="1">
        <v>5</v>
      </c>
      <c r="S16" s="1">
        <v>6</v>
      </c>
    </row>
    <row r="17" spans="2:19" x14ac:dyDescent="0.35">
      <c r="B17" s="1">
        <v>1</v>
      </c>
      <c r="C17" s="1" t="s">
        <v>30</v>
      </c>
      <c r="D17" s="1">
        <v>200</v>
      </c>
      <c r="E17" s="1">
        <v>200</v>
      </c>
      <c r="F17" s="1">
        <v>200</v>
      </c>
      <c r="G17" s="1">
        <v>200</v>
      </c>
      <c r="H17" s="1">
        <v>200</v>
      </c>
      <c r="I17" s="1">
        <v>200</v>
      </c>
      <c r="L17" s="1">
        <v>1</v>
      </c>
      <c r="M17" s="1" t="s">
        <v>30</v>
      </c>
      <c r="N17" s="1">
        <v>400</v>
      </c>
      <c r="O17" s="1">
        <v>400</v>
      </c>
      <c r="P17" s="1">
        <v>400</v>
      </c>
      <c r="Q17" s="1">
        <v>400</v>
      </c>
      <c r="R17" s="1">
        <v>400</v>
      </c>
      <c r="S17" s="1">
        <v>400</v>
      </c>
    </row>
    <row r="18" spans="2:19" x14ac:dyDescent="0.35">
      <c r="B18" s="1">
        <v>2</v>
      </c>
      <c r="C18" s="1" t="s">
        <v>55</v>
      </c>
      <c r="D18" s="1">
        <v>1000</v>
      </c>
      <c r="E18" s="1">
        <v>500</v>
      </c>
      <c r="F18" s="1">
        <v>335</v>
      </c>
      <c r="G18" s="1">
        <v>250</v>
      </c>
      <c r="H18" s="1">
        <v>200</v>
      </c>
      <c r="I18" s="1">
        <v>170</v>
      </c>
      <c r="L18" s="1">
        <v>2</v>
      </c>
      <c r="M18" s="1" t="s">
        <v>55</v>
      </c>
      <c r="N18" s="1">
        <v>1000</v>
      </c>
      <c r="O18" s="1">
        <v>500</v>
      </c>
      <c r="P18" s="1">
        <v>335</v>
      </c>
      <c r="Q18" s="1">
        <v>250</v>
      </c>
      <c r="R18" s="1">
        <v>200</v>
      </c>
      <c r="S18" s="1">
        <v>170</v>
      </c>
    </row>
    <row r="19" spans="2:19" x14ac:dyDescent="0.35">
      <c r="B19" s="1">
        <v>3</v>
      </c>
      <c r="C19" s="1" t="s">
        <v>22</v>
      </c>
      <c r="D19" s="1">
        <v>30</v>
      </c>
      <c r="E19" s="1">
        <v>30</v>
      </c>
      <c r="F19" s="1">
        <v>20</v>
      </c>
      <c r="G19" s="1">
        <v>20</v>
      </c>
      <c r="H19" s="1">
        <v>15</v>
      </c>
      <c r="I19" s="1">
        <v>15</v>
      </c>
      <c r="L19" s="1">
        <v>3</v>
      </c>
      <c r="M19" s="1" t="s">
        <v>22</v>
      </c>
      <c r="N19" s="1">
        <v>30</v>
      </c>
      <c r="O19" s="1">
        <v>30</v>
      </c>
      <c r="P19" s="1">
        <v>20</v>
      </c>
      <c r="Q19" s="1">
        <v>20</v>
      </c>
      <c r="R19" s="1">
        <v>15</v>
      </c>
      <c r="S19" s="1">
        <v>15</v>
      </c>
    </row>
    <row r="20" spans="2:19" x14ac:dyDescent="0.35">
      <c r="B20" s="1">
        <v>4</v>
      </c>
      <c r="C20" s="1" t="s">
        <v>63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L20" s="1">
        <v>4</v>
      </c>
      <c r="M20" s="1" t="s">
        <v>64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</row>
    <row r="21" spans="2:19" x14ac:dyDescent="0.35">
      <c r="B21" s="1">
        <v>6</v>
      </c>
      <c r="C21" s="29" t="s">
        <v>58</v>
      </c>
      <c r="D21" s="29">
        <v>20</v>
      </c>
      <c r="E21" s="29">
        <v>20</v>
      </c>
      <c r="F21" s="29">
        <v>20</v>
      </c>
      <c r="G21" s="29">
        <v>20</v>
      </c>
      <c r="H21" s="29">
        <v>20</v>
      </c>
      <c r="I21" s="29">
        <v>20</v>
      </c>
      <c r="L21" s="1">
        <v>6</v>
      </c>
      <c r="M21" s="29" t="s">
        <v>59</v>
      </c>
      <c r="N21" s="29">
        <v>20</v>
      </c>
      <c r="O21" s="29">
        <v>20</v>
      </c>
      <c r="P21" s="29">
        <v>20</v>
      </c>
      <c r="Q21" s="29">
        <v>20</v>
      </c>
      <c r="R21" s="29">
        <v>20</v>
      </c>
      <c r="S21" s="29">
        <v>20</v>
      </c>
    </row>
    <row r="22" spans="2:19" x14ac:dyDescent="0.35">
      <c r="B22" s="1"/>
      <c r="C22" s="28" t="s">
        <v>14</v>
      </c>
      <c r="D22" s="24">
        <f t="shared" ref="D22:I22" si="2">SUM(D17:D21)</f>
        <v>1340</v>
      </c>
      <c r="E22" s="24">
        <f t="shared" si="2"/>
        <v>840</v>
      </c>
      <c r="F22" s="24">
        <f t="shared" si="2"/>
        <v>665</v>
      </c>
      <c r="G22" s="24">
        <f t="shared" si="2"/>
        <v>580</v>
      </c>
      <c r="H22" s="24">
        <f t="shared" si="2"/>
        <v>525</v>
      </c>
      <c r="I22" s="24">
        <f t="shared" si="2"/>
        <v>495</v>
      </c>
      <c r="L22" s="1"/>
      <c r="M22" s="28" t="s">
        <v>14</v>
      </c>
      <c r="N22" s="24">
        <f t="shared" ref="N22:S22" si="3">SUM(N17:N21)</f>
        <v>1540</v>
      </c>
      <c r="O22" s="24">
        <f t="shared" si="3"/>
        <v>1040</v>
      </c>
      <c r="P22" s="24">
        <f t="shared" si="3"/>
        <v>865</v>
      </c>
      <c r="Q22" s="24">
        <f t="shared" si="3"/>
        <v>780</v>
      </c>
      <c r="R22" s="24">
        <f t="shared" si="3"/>
        <v>725</v>
      </c>
      <c r="S22" s="24">
        <f t="shared" si="3"/>
        <v>695</v>
      </c>
    </row>
    <row r="23" spans="2:19" x14ac:dyDescent="0.35">
      <c r="B23" s="1"/>
      <c r="C23" s="12"/>
      <c r="D23" s="30"/>
      <c r="L23" s="1"/>
      <c r="M23" s="12"/>
      <c r="N23" s="3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AN25"/>
  <sheetViews>
    <sheetView topLeftCell="A4" workbookViewId="0">
      <selection activeCell="E10" sqref="E10:AN10"/>
    </sheetView>
  </sheetViews>
  <sheetFormatPr defaultRowHeight="14.5" x14ac:dyDescent="0.35"/>
  <cols>
    <col min="3" max="3" width="19.54296875" customWidth="1"/>
    <col min="4" max="4" width="12.54296875" customWidth="1"/>
  </cols>
  <sheetData>
    <row r="3" spans="2:40" x14ac:dyDescent="0.35">
      <c r="E3" t="s">
        <v>66</v>
      </c>
    </row>
    <row r="5" spans="2:40" x14ac:dyDescent="0.35">
      <c r="B5" s="1"/>
      <c r="C5" s="1"/>
      <c r="D5" s="1"/>
      <c r="E5" s="2" t="s">
        <v>0</v>
      </c>
      <c r="F5" s="3"/>
      <c r="G5" s="3"/>
      <c r="H5" s="3"/>
      <c r="I5" s="3"/>
      <c r="J5" s="3"/>
      <c r="K5" s="4" t="s">
        <v>1</v>
      </c>
      <c r="L5" s="5"/>
      <c r="M5" s="5"/>
      <c r="N5" s="5"/>
      <c r="O5" s="5"/>
      <c r="P5" s="5"/>
      <c r="Q5" s="4" t="s">
        <v>67</v>
      </c>
      <c r="R5" s="5"/>
      <c r="S5" s="5"/>
      <c r="T5" s="5"/>
      <c r="U5" s="5"/>
      <c r="V5" s="5"/>
      <c r="W5" s="6" t="s">
        <v>68</v>
      </c>
      <c r="X5" s="7"/>
      <c r="Y5" s="7"/>
      <c r="Z5" s="7"/>
      <c r="AA5" s="7"/>
      <c r="AB5" s="7"/>
      <c r="AC5" s="8" t="s">
        <v>3</v>
      </c>
      <c r="AD5" s="9"/>
      <c r="AE5" s="9"/>
      <c r="AF5" s="9"/>
      <c r="AG5" s="9"/>
      <c r="AH5" s="9"/>
      <c r="AI5" s="10" t="s">
        <v>4</v>
      </c>
      <c r="AJ5" s="11"/>
      <c r="AK5" s="11"/>
      <c r="AL5" s="11"/>
      <c r="AM5" s="11"/>
      <c r="AN5" s="11"/>
    </row>
    <row r="6" spans="2:40" x14ac:dyDescent="0.35">
      <c r="B6" s="1"/>
      <c r="C6" s="1"/>
      <c r="D6" s="1"/>
      <c r="E6" s="3" t="s">
        <v>5</v>
      </c>
      <c r="F6" s="3"/>
      <c r="G6" s="3"/>
      <c r="H6" s="3"/>
      <c r="I6" s="3"/>
      <c r="J6" s="3"/>
      <c r="K6" s="5" t="s">
        <v>6</v>
      </c>
      <c r="L6" s="5"/>
      <c r="M6" s="5"/>
      <c r="N6" s="5"/>
      <c r="O6" s="5"/>
      <c r="P6" s="5"/>
      <c r="Q6" s="5" t="s">
        <v>49</v>
      </c>
      <c r="R6" s="5"/>
      <c r="S6" s="5"/>
      <c r="T6" s="5"/>
      <c r="U6" s="5"/>
      <c r="V6" s="5"/>
      <c r="W6" s="7" t="s">
        <v>7</v>
      </c>
      <c r="X6" s="7"/>
      <c r="Y6" s="7"/>
      <c r="Z6" s="7"/>
      <c r="AA6" s="7"/>
      <c r="AB6" s="7"/>
      <c r="AC6" s="9" t="s">
        <v>8</v>
      </c>
      <c r="AD6" s="9"/>
      <c r="AE6" s="9"/>
      <c r="AF6" s="9"/>
      <c r="AG6" s="9"/>
      <c r="AH6" s="9"/>
      <c r="AI6" s="10" t="s">
        <v>9</v>
      </c>
      <c r="AJ6" s="11"/>
      <c r="AK6" s="11"/>
      <c r="AL6" s="11"/>
      <c r="AM6" s="11"/>
      <c r="AN6" s="11"/>
    </row>
    <row r="7" spans="2:40" x14ac:dyDescent="0.35">
      <c r="B7" s="1" t="s">
        <v>10</v>
      </c>
      <c r="C7" s="1" t="s">
        <v>11</v>
      </c>
      <c r="D7" s="1" t="s">
        <v>12</v>
      </c>
      <c r="E7" s="3">
        <v>1</v>
      </c>
      <c r="F7" s="3">
        <v>2</v>
      </c>
      <c r="G7" s="3">
        <v>3</v>
      </c>
      <c r="H7" s="3">
        <v>4</v>
      </c>
      <c r="I7" s="3">
        <v>5</v>
      </c>
      <c r="J7" s="3">
        <v>6</v>
      </c>
      <c r="K7" s="5">
        <v>1</v>
      </c>
      <c r="L7" s="5">
        <v>2</v>
      </c>
      <c r="M7" s="5">
        <v>3</v>
      </c>
      <c r="N7" s="5">
        <v>4</v>
      </c>
      <c r="O7" s="5">
        <v>5</v>
      </c>
      <c r="P7" s="5">
        <v>6</v>
      </c>
      <c r="Q7" s="5">
        <v>1</v>
      </c>
      <c r="R7" s="5">
        <v>2</v>
      </c>
      <c r="S7" s="5">
        <v>3</v>
      </c>
      <c r="T7" s="5">
        <v>4</v>
      </c>
      <c r="U7" s="5">
        <v>5</v>
      </c>
      <c r="V7" s="5">
        <v>6</v>
      </c>
      <c r="W7" s="7">
        <v>1</v>
      </c>
      <c r="X7" s="7">
        <v>2</v>
      </c>
      <c r="Y7" s="7">
        <v>3</v>
      </c>
      <c r="Z7" s="7">
        <v>4</v>
      </c>
      <c r="AA7" s="7">
        <v>5</v>
      </c>
      <c r="AB7" s="7">
        <v>6</v>
      </c>
      <c r="AC7" s="9">
        <v>1</v>
      </c>
      <c r="AD7" s="9">
        <v>2</v>
      </c>
      <c r="AE7" s="9">
        <v>3</v>
      </c>
      <c r="AF7" s="9">
        <v>4</v>
      </c>
      <c r="AG7" s="9">
        <v>5</v>
      </c>
      <c r="AH7" s="9">
        <v>6</v>
      </c>
      <c r="AI7" s="11">
        <v>1</v>
      </c>
      <c r="AJ7" s="11">
        <v>2</v>
      </c>
      <c r="AK7" s="11">
        <v>3</v>
      </c>
      <c r="AL7" s="11">
        <v>4</v>
      </c>
      <c r="AM7" s="11">
        <v>5</v>
      </c>
      <c r="AN7" s="11">
        <v>6</v>
      </c>
    </row>
    <row r="8" spans="2:40" x14ac:dyDescent="0.35">
      <c r="B8" s="1">
        <v>1</v>
      </c>
      <c r="C8" s="1" t="s">
        <v>77</v>
      </c>
      <c r="D8" s="1">
        <v>1</v>
      </c>
      <c r="E8" s="3">
        <v>271</v>
      </c>
      <c r="F8" s="3">
        <v>182</v>
      </c>
      <c r="G8" s="3">
        <v>183</v>
      </c>
      <c r="H8" s="3">
        <v>182</v>
      </c>
      <c r="I8" s="3">
        <v>182</v>
      </c>
      <c r="J8" s="3">
        <v>182</v>
      </c>
      <c r="K8" s="3">
        <v>225</v>
      </c>
      <c r="L8" s="3">
        <v>150</v>
      </c>
      <c r="M8" s="3">
        <v>150</v>
      </c>
      <c r="N8" s="3">
        <v>150</v>
      </c>
      <c r="O8" s="3">
        <v>150</v>
      </c>
      <c r="P8" s="3">
        <v>150</v>
      </c>
      <c r="Q8" s="3">
        <v>345</v>
      </c>
      <c r="R8" s="3">
        <v>233</v>
      </c>
      <c r="S8" s="3">
        <v>234</v>
      </c>
      <c r="T8" s="3">
        <v>233</v>
      </c>
      <c r="U8" s="3">
        <v>234</v>
      </c>
      <c r="V8" s="3">
        <v>233</v>
      </c>
      <c r="W8" s="3">
        <v>345</v>
      </c>
      <c r="X8" s="3">
        <v>233</v>
      </c>
      <c r="Y8" s="3">
        <v>234</v>
      </c>
      <c r="Z8" s="3">
        <v>233</v>
      </c>
      <c r="AA8" s="3">
        <v>234</v>
      </c>
      <c r="AB8" s="3">
        <v>233</v>
      </c>
      <c r="AC8" s="3">
        <v>271</v>
      </c>
      <c r="AD8" s="3">
        <v>182</v>
      </c>
      <c r="AE8" s="3">
        <v>183</v>
      </c>
      <c r="AF8" s="3">
        <v>182</v>
      </c>
      <c r="AG8" s="3">
        <v>182</v>
      </c>
      <c r="AH8" s="20">
        <v>182</v>
      </c>
      <c r="AI8" s="3">
        <v>345</v>
      </c>
      <c r="AJ8" s="3">
        <v>233</v>
      </c>
      <c r="AK8" s="3">
        <v>234</v>
      </c>
      <c r="AL8" s="3">
        <v>233</v>
      </c>
      <c r="AM8" s="3">
        <v>234</v>
      </c>
      <c r="AN8" s="3">
        <v>233</v>
      </c>
    </row>
    <row r="9" spans="2:40" x14ac:dyDescent="0.35">
      <c r="B9" s="1">
        <v>2</v>
      </c>
      <c r="C9" s="1" t="s">
        <v>78</v>
      </c>
      <c r="D9" s="1">
        <v>1</v>
      </c>
      <c r="E9" s="3">
        <v>186</v>
      </c>
      <c r="F9" s="3">
        <v>143</v>
      </c>
      <c r="G9" s="3">
        <v>122</v>
      </c>
      <c r="H9" s="3">
        <v>143</v>
      </c>
      <c r="I9" s="3">
        <v>130</v>
      </c>
      <c r="J9" s="3">
        <v>143</v>
      </c>
      <c r="K9" s="3">
        <v>135</v>
      </c>
      <c r="L9" s="3">
        <v>104</v>
      </c>
      <c r="M9" s="3">
        <v>88</v>
      </c>
      <c r="N9" s="3">
        <v>104</v>
      </c>
      <c r="O9" s="3">
        <v>94</v>
      </c>
      <c r="P9" s="3">
        <v>104</v>
      </c>
      <c r="Q9" s="3">
        <v>186</v>
      </c>
      <c r="R9" s="3">
        <v>143</v>
      </c>
      <c r="S9" s="3">
        <v>122</v>
      </c>
      <c r="T9" s="3">
        <v>143</v>
      </c>
      <c r="U9" s="3">
        <v>130</v>
      </c>
      <c r="V9" s="3">
        <v>143</v>
      </c>
      <c r="W9" s="3">
        <v>284</v>
      </c>
      <c r="X9" s="3">
        <v>219</v>
      </c>
      <c r="Y9" s="3">
        <v>186</v>
      </c>
      <c r="Z9" s="3">
        <v>219</v>
      </c>
      <c r="AA9" s="3">
        <v>199</v>
      </c>
      <c r="AB9" s="3">
        <v>219</v>
      </c>
      <c r="AC9" s="3">
        <v>186</v>
      </c>
      <c r="AD9" s="3">
        <v>143</v>
      </c>
      <c r="AE9" s="3">
        <v>122</v>
      </c>
      <c r="AF9" s="3">
        <v>143</v>
      </c>
      <c r="AG9" s="3">
        <v>130</v>
      </c>
      <c r="AH9" s="3">
        <v>143</v>
      </c>
      <c r="AI9" s="3">
        <v>330</v>
      </c>
      <c r="AJ9" s="3">
        <v>265</v>
      </c>
      <c r="AK9" s="3">
        <v>232</v>
      </c>
      <c r="AL9" s="3">
        <v>265</v>
      </c>
      <c r="AM9" s="3">
        <v>245</v>
      </c>
      <c r="AN9" s="3">
        <v>265</v>
      </c>
    </row>
    <row r="10" spans="2:40" x14ac:dyDescent="0.35">
      <c r="B10" s="1">
        <v>3</v>
      </c>
      <c r="C10" s="1" t="s">
        <v>79</v>
      </c>
      <c r="D10" s="1">
        <v>2</v>
      </c>
      <c r="E10" s="3">
        <v>380</v>
      </c>
      <c r="F10" s="3">
        <v>288</v>
      </c>
      <c r="G10" s="3">
        <v>268</v>
      </c>
      <c r="H10" s="3">
        <v>288</v>
      </c>
      <c r="I10" s="3">
        <v>276</v>
      </c>
      <c r="J10" s="3">
        <v>288</v>
      </c>
      <c r="K10" s="3">
        <v>380</v>
      </c>
      <c r="L10" s="3">
        <v>288</v>
      </c>
      <c r="M10" s="3">
        <v>268</v>
      </c>
      <c r="N10" s="3">
        <v>288</v>
      </c>
      <c r="O10" s="3">
        <v>276</v>
      </c>
      <c r="P10" s="3">
        <v>288</v>
      </c>
      <c r="Q10" s="3">
        <v>380</v>
      </c>
      <c r="R10" s="3">
        <v>288</v>
      </c>
      <c r="S10" s="3">
        <v>268</v>
      </c>
      <c r="T10" s="3">
        <v>288</v>
      </c>
      <c r="U10" s="3">
        <v>276</v>
      </c>
      <c r="V10" s="3">
        <v>288</v>
      </c>
      <c r="W10" s="3">
        <v>828</v>
      </c>
      <c r="X10" s="3">
        <v>598</v>
      </c>
      <c r="Y10" s="3">
        <v>548</v>
      </c>
      <c r="Z10" s="3">
        <v>598</v>
      </c>
      <c r="AA10" s="3">
        <v>568</v>
      </c>
      <c r="AB10" s="3">
        <v>598</v>
      </c>
      <c r="AC10" s="3">
        <v>380</v>
      </c>
      <c r="AD10" s="3">
        <v>288</v>
      </c>
      <c r="AE10" s="3">
        <v>268</v>
      </c>
      <c r="AF10" s="3">
        <v>288</v>
      </c>
      <c r="AG10" s="3">
        <v>276</v>
      </c>
      <c r="AH10" s="3">
        <v>288</v>
      </c>
      <c r="AI10" s="3">
        <v>702</v>
      </c>
      <c r="AJ10" s="3">
        <v>552</v>
      </c>
      <c r="AK10" s="3">
        <v>518</v>
      </c>
      <c r="AL10" s="3">
        <v>552</v>
      </c>
      <c r="AM10" s="3">
        <v>532</v>
      </c>
      <c r="AN10" s="3">
        <v>552</v>
      </c>
    </row>
    <row r="11" spans="2:40" x14ac:dyDescent="0.35">
      <c r="B11" s="1"/>
      <c r="C11" s="12" t="s">
        <v>14</v>
      </c>
      <c r="D11" s="1"/>
      <c r="E11" s="3">
        <f t="shared" ref="E11:AN11" si="0">SUM(E8:E10)</f>
        <v>837</v>
      </c>
      <c r="F11" s="3">
        <f t="shared" si="0"/>
        <v>613</v>
      </c>
      <c r="G11" s="3">
        <f t="shared" si="0"/>
        <v>573</v>
      </c>
      <c r="H11" s="3">
        <f t="shared" si="0"/>
        <v>613</v>
      </c>
      <c r="I11" s="3">
        <f t="shared" si="0"/>
        <v>588</v>
      </c>
      <c r="J11" s="3">
        <f t="shared" si="0"/>
        <v>613</v>
      </c>
      <c r="K11" s="3">
        <f t="shared" si="0"/>
        <v>740</v>
      </c>
      <c r="L11" s="3">
        <f t="shared" si="0"/>
        <v>542</v>
      </c>
      <c r="M11" s="3">
        <f t="shared" si="0"/>
        <v>506</v>
      </c>
      <c r="N11" s="3">
        <f t="shared" si="0"/>
        <v>542</v>
      </c>
      <c r="O11" s="3">
        <f t="shared" si="0"/>
        <v>520</v>
      </c>
      <c r="P11" s="3">
        <f t="shared" si="0"/>
        <v>542</v>
      </c>
      <c r="Q11" s="3">
        <f t="shared" si="0"/>
        <v>911</v>
      </c>
      <c r="R11" s="3">
        <f t="shared" si="0"/>
        <v>664</v>
      </c>
      <c r="S11" s="3">
        <f t="shared" si="0"/>
        <v>624</v>
      </c>
      <c r="T11" s="3">
        <f t="shared" si="0"/>
        <v>664</v>
      </c>
      <c r="U11" s="3">
        <f t="shared" si="0"/>
        <v>640</v>
      </c>
      <c r="V11" s="3">
        <f t="shared" si="0"/>
        <v>664</v>
      </c>
      <c r="W11" s="3">
        <f t="shared" si="0"/>
        <v>1457</v>
      </c>
      <c r="X11" s="3">
        <f t="shared" si="0"/>
        <v>1050</v>
      </c>
      <c r="Y11" s="3">
        <f t="shared" si="0"/>
        <v>968</v>
      </c>
      <c r="Z11" s="3">
        <f t="shared" si="0"/>
        <v>1050</v>
      </c>
      <c r="AA11" s="3">
        <f t="shared" si="0"/>
        <v>1001</v>
      </c>
      <c r="AB11" s="3">
        <f t="shared" si="0"/>
        <v>1050</v>
      </c>
      <c r="AC11" s="3">
        <f t="shared" si="0"/>
        <v>837</v>
      </c>
      <c r="AD11" s="3">
        <f t="shared" si="0"/>
        <v>613</v>
      </c>
      <c r="AE11" s="3">
        <f t="shared" si="0"/>
        <v>573</v>
      </c>
      <c r="AF11" s="3">
        <f t="shared" si="0"/>
        <v>613</v>
      </c>
      <c r="AG11" s="3">
        <f t="shared" si="0"/>
        <v>588</v>
      </c>
      <c r="AH11" s="3">
        <f t="shared" si="0"/>
        <v>613</v>
      </c>
      <c r="AI11" s="3">
        <f t="shared" si="0"/>
        <v>1377</v>
      </c>
      <c r="AJ11" s="3">
        <f t="shared" si="0"/>
        <v>1050</v>
      </c>
      <c r="AK11" s="3">
        <f t="shared" si="0"/>
        <v>984</v>
      </c>
      <c r="AL11" s="3">
        <f t="shared" si="0"/>
        <v>1050</v>
      </c>
      <c r="AM11" s="3">
        <f t="shared" si="0"/>
        <v>1011</v>
      </c>
      <c r="AN11" s="3">
        <f t="shared" si="0"/>
        <v>1050</v>
      </c>
    </row>
    <row r="12" spans="2:40" x14ac:dyDescent="0.35">
      <c r="B12" s="1"/>
      <c r="C12" s="12" t="s">
        <v>15</v>
      </c>
      <c r="D12" s="1"/>
      <c r="E12" s="13">
        <v>1680</v>
      </c>
      <c r="F12" s="13">
        <v>1055</v>
      </c>
      <c r="G12" s="13">
        <v>840</v>
      </c>
      <c r="H12" s="13">
        <v>735</v>
      </c>
      <c r="I12" s="13">
        <v>665</v>
      </c>
      <c r="J12" s="13">
        <v>625</v>
      </c>
      <c r="K12" s="13">
        <v>1680</v>
      </c>
      <c r="L12" s="13">
        <v>1055</v>
      </c>
      <c r="M12" s="13">
        <v>840</v>
      </c>
      <c r="N12" s="13">
        <v>735</v>
      </c>
      <c r="O12" s="13">
        <v>665</v>
      </c>
      <c r="P12" s="13">
        <v>625</v>
      </c>
      <c r="Q12" s="13">
        <v>1680</v>
      </c>
      <c r="R12" s="13">
        <v>1055</v>
      </c>
      <c r="S12" s="13">
        <v>840</v>
      </c>
      <c r="T12" s="13">
        <v>735</v>
      </c>
      <c r="U12" s="13">
        <v>665</v>
      </c>
      <c r="V12" s="13">
        <v>625</v>
      </c>
      <c r="W12" s="13">
        <v>1880</v>
      </c>
      <c r="X12" s="13">
        <v>1255</v>
      </c>
      <c r="Y12" s="13">
        <v>1040</v>
      </c>
      <c r="Z12" s="13">
        <v>935</v>
      </c>
      <c r="AA12" s="13">
        <v>865</v>
      </c>
      <c r="AB12" s="13">
        <v>825</v>
      </c>
      <c r="AC12" s="13">
        <v>1880</v>
      </c>
      <c r="AD12" s="13">
        <v>1255</v>
      </c>
      <c r="AE12" s="13">
        <v>1040</v>
      </c>
      <c r="AF12" s="13">
        <v>935</v>
      </c>
      <c r="AG12" s="13">
        <v>865</v>
      </c>
      <c r="AH12" s="13">
        <v>825</v>
      </c>
      <c r="AI12" s="13">
        <v>1880</v>
      </c>
      <c r="AJ12" s="13">
        <v>1255</v>
      </c>
      <c r="AK12" s="13">
        <v>1040</v>
      </c>
      <c r="AL12" s="13">
        <v>935</v>
      </c>
      <c r="AM12" s="13">
        <v>865</v>
      </c>
      <c r="AN12" s="13">
        <v>825</v>
      </c>
    </row>
    <row r="13" spans="2:40" x14ac:dyDescent="0.35">
      <c r="B13" s="1"/>
      <c r="C13" s="14" t="s">
        <v>14</v>
      </c>
      <c r="D13" s="1"/>
      <c r="E13" s="13">
        <f t="shared" ref="E13:AN13" si="1">SUM(E11:E12)</f>
        <v>2517</v>
      </c>
      <c r="F13" s="13">
        <f t="shared" si="1"/>
        <v>1668</v>
      </c>
      <c r="G13" s="13">
        <f t="shared" si="1"/>
        <v>1413</v>
      </c>
      <c r="H13" s="13">
        <f t="shared" si="1"/>
        <v>1348</v>
      </c>
      <c r="I13" s="13">
        <f t="shared" si="1"/>
        <v>1253</v>
      </c>
      <c r="J13" s="13">
        <f t="shared" si="1"/>
        <v>1238</v>
      </c>
      <c r="K13" s="13">
        <f t="shared" si="1"/>
        <v>2420</v>
      </c>
      <c r="L13" s="13">
        <f t="shared" si="1"/>
        <v>1597</v>
      </c>
      <c r="M13" s="13">
        <f t="shared" si="1"/>
        <v>1346</v>
      </c>
      <c r="N13" s="13">
        <f t="shared" si="1"/>
        <v>1277</v>
      </c>
      <c r="O13" s="13">
        <f t="shared" si="1"/>
        <v>1185</v>
      </c>
      <c r="P13" s="13">
        <f t="shared" si="1"/>
        <v>1167</v>
      </c>
      <c r="Q13" s="13">
        <f t="shared" si="1"/>
        <v>2591</v>
      </c>
      <c r="R13" s="13">
        <f t="shared" si="1"/>
        <v>1719</v>
      </c>
      <c r="S13" s="13">
        <f t="shared" si="1"/>
        <v>1464</v>
      </c>
      <c r="T13" s="13">
        <f t="shared" si="1"/>
        <v>1399</v>
      </c>
      <c r="U13" s="13">
        <f t="shared" si="1"/>
        <v>1305</v>
      </c>
      <c r="V13" s="13">
        <f t="shared" si="1"/>
        <v>1289</v>
      </c>
      <c r="W13" s="13">
        <f t="shared" si="1"/>
        <v>3337</v>
      </c>
      <c r="X13" s="13">
        <f t="shared" si="1"/>
        <v>2305</v>
      </c>
      <c r="Y13" s="13">
        <f t="shared" si="1"/>
        <v>2008</v>
      </c>
      <c r="Z13" s="13">
        <f t="shared" si="1"/>
        <v>1985</v>
      </c>
      <c r="AA13" s="13">
        <f t="shared" si="1"/>
        <v>1866</v>
      </c>
      <c r="AB13" s="13">
        <f t="shared" si="1"/>
        <v>1875</v>
      </c>
      <c r="AC13" s="13">
        <f t="shared" si="1"/>
        <v>2717</v>
      </c>
      <c r="AD13" s="13">
        <f t="shared" si="1"/>
        <v>1868</v>
      </c>
      <c r="AE13" s="13">
        <f t="shared" si="1"/>
        <v>1613</v>
      </c>
      <c r="AF13" s="13">
        <f t="shared" si="1"/>
        <v>1548</v>
      </c>
      <c r="AG13" s="13">
        <f t="shared" si="1"/>
        <v>1453</v>
      </c>
      <c r="AH13" s="13">
        <f t="shared" si="1"/>
        <v>1438</v>
      </c>
      <c r="AI13" s="13">
        <f t="shared" si="1"/>
        <v>3257</v>
      </c>
      <c r="AJ13" s="13">
        <f t="shared" si="1"/>
        <v>2305</v>
      </c>
      <c r="AK13" s="13">
        <f t="shared" si="1"/>
        <v>2024</v>
      </c>
      <c r="AL13" s="13">
        <f t="shared" si="1"/>
        <v>1985</v>
      </c>
      <c r="AM13" s="13">
        <f t="shared" si="1"/>
        <v>1876</v>
      </c>
      <c r="AN13" s="3">
        <f t="shared" si="1"/>
        <v>1875</v>
      </c>
    </row>
    <row r="14" spans="2:40" x14ac:dyDescent="0.35">
      <c r="C14" s="15"/>
    </row>
    <row r="15" spans="2:40" x14ac:dyDescent="0.35">
      <c r="E15" s="16" t="s">
        <v>16</v>
      </c>
    </row>
    <row r="16" spans="2:40" x14ac:dyDescent="0.35">
      <c r="C16" s="16" t="s">
        <v>17</v>
      </c>
      <c r="O16" s="16"/>
    </row>
    <row r="17" spans="2:19" x14ac:dyDescent="0.35">
      <c r="B17" s="1" t="s">
        <v>10</v>
      </c>
      <c r="C17" s="1" t="s">
        <v>19</v>
      </c>
      <c r="D17" s="1">
        <v>1</v>
      </c>
      <c r="E17" s="1">
        <v>2</v>
      </c>
      <c r="F17" s="1">
        <v>3</v>
      </c>
      <c r="G17" s="1">
        <v>4</v>
      </c>
      <c r="H17" s="1">
        <v>5</v>
      </c>
      <c r="I17" s="1">
        <v>6</v>
      </c>
      <c r="M17" s="16" t="s">
        <v>18</v>
      </c>
      <c r="N17" s="16"/>
    </row>
    <row r="18" spans="2:19" x14ac:dyDescent="0.35">
      <c r="B18" s="1">
        <v>1</v>
      </c>
      <c r="C18" s="1" t="s">
        <v>70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L18" s="1" t="s">
        <v>10</v>
      </c>
      <c r="M18" s="1" t="s">
        <v>19</v>
      </c>
      <c r="N18" s="1">
        <v>1</v>
      </c>
      <c r="O18" s="1">
        <v>2</v>
      </c>
      <c r="P18" s="1">
        <v>3</v>
      </c>
      <c r="Q18" s="1">
        <v>4</v>
      </c>
      <c r="R18" s="1">
        <v>5</v>
      </c>
      <c r="S18" s="1">
        <v>6</v>
      </c>
    </row>
    <row r="19" spans="2:19" x14ac:dyDescent="0.35">
      <c r="B19" s="1">
        <v>2</v>
      </c>
      <c r="C19" s="1" t="s">
        <v>71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L19" s="1"/>
      <c r="M19" s="1" t="s">
        <v>72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</row>
    <row r="20" spans="2:19" x14ac:dyDescent="0.35">
      <c r="B20" s="1">
        <v>3</v>
      </c>
      <c r="C20" s="1" t="s">
        <v>30</v>
      </c>
      <c r="D20" s="1">
        <v>200</v>
      </c>
      <c r="E20" s="1">
        <v>200</v>
      </c>
      <c r="F20" s="1">
        <v>200</v>
      </c>
      <c r="G20" s="1">
        <v>200</v>
      </c>
      <c r="H20" s="1">
        <v>200</v>
      </c>
      <c r="I20" s="1">
        <v>200</v>
      </c>
      <c r="L20" s="1"/>
      <c r="M20" s="1" t="s">
        <v>73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</row>
    <row r="21" spans="2:19" x14ac:dyDescent="0.35">
      <c r="B21" s="1">
        <v>4</v>
      </c>
      <c r="C21" s="1" t="s">
        <v>80</v>
      </c>
      <c r="D21" s="1">
        <v>1250</v>
      </c>
      <c r="E21" s="1">
        <v>625</v>
      </c>
      <c r="F21" s="1">
        <v>420</v>
      </c>
      <c r="G21" s="1">
        <v>315</v>
      </c>
      <c r="H21" s="1">
        <v>250</v>
      </c>
      <c r="I21" s="1">
        <v>210</v>
      </c>
      <c r="L21" s="1">
        <v>1</v>
      </c>
      <c r="M21" s="17" t="s">
        <v>31</v>
      </c>
      <c r="N21" s="1">
        <v>400</v>
      </c>
      <c r="O21" s="1">
        <v>400</v>
      </c>
      <c r="P21" s="1">
        <v>400</v>
      </c>
      <c r="Q21" s="1">
        <v>400</v>
      </c>
      <c r="R21" s="1">
        <v>400</v>
      </c>
      <c r="S21" s="1">
        <v>400</v>
      </c>
    </row>
    <row r="22" spans="2:19" x14ac:dyDescent="0.35">
      <c r="B22" s="1">
        <v>5</v>
      </c>
      <c r="C22" s="1" t="s">
        <v>22</v>
      </c>
      <c r="D22" s="1">
        <v>30</v>
      </c>
      <c r="E22" s="1">
        <v>30</v>
      </c>
      <c r="F22" s="1">
        <v>20</v>
      </c>
      <c r="G22" s="1">
        <v>20</v>
      </c>
      <c r="H22" s="1">
        <v>15</v>
      </c>
      <c r="I22" s="1">
        <v>15</v>
      </c>
      <c r="L22" s="1">
        <v>2</v>
      </c>
      <c r="M22" s="17" t="s">
        <v>74</v>
      </c>
      <c r="N22" s="1">
        <v>1250</v>
      </c>
      <c r="O22" s="1">
        <v>625</v>
      </c>
      <c r="P22" s="1">
        <v>420</v>
      </c>
      <c r="Q22" s="1">
        <v>315</v>
      </c>
      <c r="R22" s="1">
        <v>250</v>
      </c>
      <c r="S22" s="1">
        <v>210</v>
      </c>
    </row>
    <row r="23" spans="2:19" x14ac:dyDescent="0.35">
      <c r="B23" s="1">
        <v>6</v>
      </c>
      <c r="C23" s="1" t="s">
        <v>75</v>
      </c>
      <c r="D23" s="1">
        <v>20</v>
      </c>
      <c r="E23" s="1">
        <v>20</v>
      </c>
      <c r="F23" s="1">
        <v>20</v>
      </c>
      <c r="G23" s="1">
        <v>20</v>
      </c>
      <c r="H23" s="1">
        <v>20</v>
      </c>
      <c r="I23" s="1">
        <v>20</v>
      </c>
      <c r="L23" s="1">
        <v>3</v>
      </c>
      <c r="M23" s="17" t="s">
        <v>34</v>
      </c>
      <c r="N23" s="1">
        <v>30</v>
      </c>
      <c r="O23" s="1">
        <v>30</v>
      </c>
      <c r="P23" s="1">
        <v>20</v>
      </c>
      <c r="Q23" s="1">
        <v>20</v>
      </c>
      <c r="R23" s="1">
        <v>15</v>
      </c>
      <c r="S23" s="1">
        <v>15</v>
      </c>
    </row>
    <row r="24" spans="2:19" x14ac:dyDescent="0.35">
      <c r="B24" s="1"/>
      <c r="C24" s="12" t="s">
        <v>14</v>
      </c>
      <c r="D24" s="13">
        <f t="shared" ref="D24:I24" si="2">SUM(D18:D23)</f>
        <v>1680</v>
      </c>
      <c r="E24" s="13">
        <f t="shared" si="2"/>
        <v>1055</v>
      </c>
      <c r="F24" s="13">
        <f t="shared" si="2"/>
        <v>840</v>
      </c>
      <c r="G24" s="13">
        <f t="shared" si="2"/>
        <v>735</v>
      </c>
      <c r="H24" s="13">
        <f t="shared" si="2"/>
        <v>665</v>
      </c>
      <c r="I24" s="13">
        <f t="shared" si="2"/>
        <v>625</v>
      </c>
      <c r="L24" s="1">
        <v>5</v>
      </c>
      <c r="M24" s="17" t="s">
        <v>76</v>
      </c>
      <c r="N24" s="1">
        <v>20</v>
      </c>
      <c r="O24" s="1">
        <v>20</v>
      </c>
      <c r="P24" s="1">
        <v>20</v>
      </c>
      <c r="Q24" s="1">
        <v>20</v>
      </c>
      <c r="R24" s="1">
        <v>20</v>
      </c>
      <c r="S24" s="1">
        <v>20</v>
      </c>
    </row>
    <row r="25" spans="2:19" x14ac:dyDescent="0.35">
      <c r="L25" s="1"/>
      <c r="M25" s="12" t="s">
        <v>14</v>
      </c>
      <c r="N25" s="13">
        <f t="shared" ref="N25:S25" si="3">SUM(N19:N24)</f>
        <v>1880</v>
      </c>
      <c r="O25" s="13">
        <f t="shared" si="3"/>
        <v>1255</v>
      </c>
      <c r="P25" s="13">
        <f t="shared" si="3"/>
        <v>1040</v>
      </c>
      <c r="Q25" s="13">
        <f t="shared" si="3"/>
        <v>935</v>
      </c>
      <c r="R25" s="13">
        <f t="shared" si="3"/>
        <v>865</v>
      </c>
      <c r="S25" s="13">
        <f t="shared" si="3"/>
        <v>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AN27"/>
  <sheetViews>
    <sheetView topLeftCell="B4" workbookViewId="0">
      <selection activeCell="D20" sqref="D20:I20"/>
    </sheetView>
  </sheetViews>
  <sheetFormatPr defaultRowHeight="14.5" x14ac:dyDescent="0.35"/>
  <cols>
    <col min="3" max="3" width="20.81640625" customWidth="1"/>
    <col min="4" max="4" width="11.54296875" customWidth="1"/>
  </cols>
  <sheetData>
    <row r="3" spans="2:40" x14ac:dyDescent="0.35">
      <c r="G3" t="s">
        <v>81</v>
      </c>
    </row>
    <row r="5" spans="2:40" x14ac:dyDescent="0.35">
      <c r="B5" s="1"/>
      <c r="C5" s="1"/>
      <c r="D5" s="1"/>
      <c r="E5" s="2" t="s">
        <v>0</v>
      </c>
      <c r="F5" s="3"/>
      <c r="G5" s="3"/>
      <c r="H5" s="3"/>
      <c r="I5" s="3"/>
      <c r="J5" s="3"/>
      <c r="K5" s="4" t="s">
        <v>45</v>
      </c>
      <c r="L5" s="5"/>
      <c r="M5" s="5"/>
      <c r="N5" s="5"/>
      <c r="O5" s="5"/>
      <c r="P5" s="5"/>
      <c r="Q5" s="6" t="s">
        <v>46</v>
      </c>
      <c r="R5" s="7"/>
      <c r="S5" s="7"/>
      <c r="T5" s="7"/>
      <c r="U5" s="7"/>
      <c r="V5" s="7"/>
      <c r="W5" s="6" t="s">
        <v>47</v>
      </c>
      <c r="X5" s="7"/>
      <c r="Y5" s="7"/>
      <c r="Z5" s="7"/>
      <c r="AA5" s="7"/>
      <c r="AB5" s="7"/>
      <c r="AC5" s="8" t="s">
        <v>83</v>
      </c>
      <c r="AD5" s="9"/>
      <c r="AE5" s="9"/>
      <c r="AF5" s="9"/>
      <c r="AG5" s="9"/>
      <c r="AH5" s="9"/>
      <c r="AI5" s="10" t="s">
        <v>48</v>
      </c>
      <c r="AJ5" s="11"/>
      <c r="AK5" s="11"/>
      <c r="AL5" s="11"/>
      <c r="AM5" s="11"/>
      <c r="AN5" s="11"/>
    </row>
    <row r="6" spans="2:40" x14ac:dyDescent="0.35">
      <c r="B6" s="1"/>
      <c r="C6" s="1"/>
      <c r="D6" s="1"/>
      <c r="E6" s="3" t="s">
        <v>5</v>
      </c>
      <c r="F6" s="3"/>
      <c r="G6" s="3"/>
      <c r="H6" s="3"/>
      <c r="I6" s="3"/>
      <c r="J6" s="3"/>
      <c r="K6" s="5" t="s">
        <v>6</v>
      </c>
      <c r="L6" s="5"/>
      <c r="M6" s="5"/>
      <c r="N6" s="5"/>
      <c r="O6" s="5"/>
      <c r="P6" s="5"/>
      <c r="Q6" s="7" t="s">
        <v>49</v>
      </c>
      <c r="R6" s="7"/>
      <c r="S6" s="7"/>
      <c r="T6" s="7"/>
      <c r="U6" s="7"/>
      <c r="V6" s="7"/>
      <c r="W6" s="7" t="s">
        <v>7</v>
      </c>
      <c r="X6" s="7"/>
      <c r="Y6" s="7"/>
      <c r="Z6" s="7"/>
      <c r="AA6" s="7"/>
      <c r="AB6" s="7"/>
      <c r="AC6" s="9" t="s">
        <v>8</v>
      </c>
      <c r="AD6" s="9"/>
      <c r="AE6" s="9"/>
      <c r="AF6" s="9"/>
      <c r="AG6" s="9"/>
      <c r="AH6" s="9"/>
      <c r="AI6" s="10" t="s">
        <v>9</v>
      </c>
      <c r="AJ6" s="11"/>
      <c r="AK6" s="11"/>
      <c r="AL6" s="11"/>
      <c r="AM6" s="11"/>
      <c r="AN6" s="11"/>
    </row>
    <row r="7" spans="2:40" x14ac:dyDescent="0.35">
      <c r="B7" s="1" t="s">
        <v>10</v>
      </c>
      <c r="C7" s="1" t="s">
        <v>11</v>
      </c>
      <c r="D7" s="1" t="s">
        <v>12</v>
      </c>
      <c r="E7" s="3">
        <v>1</v>
      </c>
      <c r="F7" s="3">
        <v>2</v>
      </c>
      <c r="G7" s="3">
        <v>3</v>
      </c>
      <c r="H7" s="3">
        <v>4</v>
      </c>
      <c r="I7" s="3">
        <v>5</v>
      </c>
      <c r="J7" s="3">
        <v>6</v>
      </c>
      <c r="K7" s="5">
        <v>1</v>
      </c>
      <c r="L7" s="5">
        <v>2</v>
      </c>
      <c r="M7" s="5">
        <v>3</v>
      </c>
      <c r="N7" s="5">
        <v>4</v>
      </c>
      <c r="O7" s="5">
        <v>5</v>
      </c>
      <c r="P7" s="5">
        <v>6</v>
      </c>
      <c r="Q7" s="7">
        <v>1</v>
      </c>
      <c r="R7" s="7">
        <v>2</v>
      </c>
      <c r="S7" s="7">
        <v>3</v>
      </c>
      <c r="T7" s="7">
        <v>4</v>
      </c>
      <c r="U7" s="7">
        <v>5</v>
      </c>
      <c r="V7" s="7">
        <v>6</v>
      </c>
      <c r="W7" s="7">
        <v>1</v>
      </c>
      <c r="X7" s="7">
        <v>2</v>
      </c>
      <c r="Y7" s="7">
        <v>3</v>
      </c>
      <c r="Z7" s="7">
        <v>4</v>
      </c>
      <c r="AA7" s="7">
        <v>5</v>
      </c>
      <c r="AB7" s="7">
        <v>6</v>
      </c>
      <c r="AC7" s="9">
        <v>1</v>
      </c>
      <c r="AD7" s="9">
        <v>2</v>
      </c>
      <c r="AE7" s="9">
        <v>3</v>
      </c>
      <c r="AF7" s="9">
        <v>4</v>
      </c>
      <c r="AG7" s="9">
        <v>5</v>
      </c>
      <c r="AH7" s="9">
        <v>6</v>
      </c>
      <c r="AI7" s="11">
        <v>1</v>
      </c>
      <c r="AJ7" s="11">
        <v>2</v>
      </c>
      <c r="AK7" s="11">
        <v>3</v>
      </c>
      <c r="AL7" s="11">
        <v>4</v>
      </c>
      <c r="AM7" s="11">
        <v>5</v>
      </c>
      <c r="AN7" s="11">
        <v>6</v>
      </c>
    </row>
    <row r="8" spans="2:40" x14ac:dyDescent="0.35">
      <c r="B8" s="1">
        <v>1</v>
      </c>
      <c r="C8" s="1" t="s">
        <v>50</v>
      </c>
      <c r="D8" s="1">
        <v>1</v>
      </c>
      <c r="E8" s="3">
        <v>258</v>
      </c>
      <c r="F8" s="3">
        <v>199</v>
      </c>
      <c r="G8" s="3">
        <v>169</v>
      </c>
      <c r="H8" s="3">
        <v>199</v>
      </c>
      <c r="I8" s="3">
        <v>181</v>
      </c>
      <c r="J8" s="3">
        <v>199</v>
      </c>
      <c r="K8" s="3">
        <v>222</v>
      </c>
      <c r="L8" s="3">
        <v>172</v>
      </c>
      <c r="M8" s="3">
        <v>146</v>
      </c>
      <c r="N8" s="3">
        <v>172</v>
      </c>
      <c r="O8" s="3">
        <v>156</v>
      </c>
      <c r="P8" s="3">
        <v>172</v>
      </c>
      <c r="Q8" s="3">
        <v>258</v>
      </c>
      <c r="R8" s="3">
        <v>199</v>
      </c>
      <c r="S8" s="3">
        <v>169</v>
      </c>
      <c r="T8" s="3">
        <v>199</v>
      </c>
      <c r="U8" s="3">
        <v>181</v>
      </c>
      <c r="V8" s="3">
        <v>199</v>
      </c>
      <c r="W8" s="3">
        <v>339</v>
      </c>
      <c r="X8" s="3">
        <v>261</v>
      </c>
      <c r="Y8" s="3">
        <v>222</v>
      </c>
      <c r="Z8" s="3">
        <v>261</v>
      </c>
      <c r="AA8" s="3">
        <v>238</v>
      </c>
      <c r="AB8" s="3">
        <v>261</v>
      </c>
      <c r="AC8" s="3">
        <v>258</v>
      </c>
      <c r="AD8" s="3">
        <v>199</v>
      </c>
      <c r="AE8" s="3">
        <v>169</v>
      </c>
      <c r="AF8" s="3">
        <v>199</v>
      </c>
      <c r="AG8" s="3">
        <v>181</v>
      </c>
      <c r="AH8" s="3">
        <v>199</v>
      </c>
      <c r="AI8" s="3">
        <v>385</v>
      </c>
      <c r="AJ8" s="3">
        <v>307</v>
      </c>
      <c r="AK8" s="3">
        <v>268</v>
      </c>
      <c r="AL8" s="3">
        <v>307</v>
      </c>
      <c r="AM8" s="3">
        <v>284</v>
      </c>
      <c r="AN8" s="3">
        <v>307</v>
      </c>
    </row>
    <row r="9" spans="2:40" x14ac:dyDescent="0.35">
      <c r="B9" s="1">
        <v>2</v>
      </c>
      <c r="C9" s="1" t="s">
        <v>82</v>
      </c>
      <c r="D9" s="1">
        <v>1</v>
      </c>
      <c r="E9" s="3">
        <v>186</v>
      </c>
      <c r="F9" s="3">
        <v>143</v>
      </c>
      <c r="G9" s="3">
        <v>122</v>
      </c>
      <c r="H9" s="3">
        <v>143</v>
      </c>
      <c r="I9" s="3">
        <v>130</v>
      </c>
      <c r="J9" s="3">
        <v>143</v>
      </c>
      <c r="K9" s="3">
        <v>135</v>
      </c>
      <c r="L9" s="3">
        <v>104</v>
      </c>
      <c r="M9" s="3">
        <v>88</v>
      </c>
      <c r="N9" s="3">
        <v>104</v>
      </c>
      <c r="O9" s="3">
        <v>94</v>
      </c>
      <c r="P9" s="3">
        <v>104</v>
      </c>
      <c r="Q9" s="3">
        <v>186</v>
      </c>
      <c r="R9" s="3">
        <v>143</v>
      </c>
      <c r="S9" s="3">
        <v>122</v>
      </c>
      <c r="T9" s="3">
        <v>143</v>
      </c>
      <c r="U9" s="3">
        <v>130</v>
      </c>
      <c r="V9" s="3">
        <v>143</v>
      </c>
      <c r="W9" s="3">
        <v>284</v>
      </c>
      <c r="X9" s="3">
        <v>219</v>
      </c>
      <c r="Y9" s="3">
        <v>186</v>
      </c>
      <c r="Z9" s="3">
        <v>219</v>
      </c>
      <c r="AA9" s="3">
        <v>199</v>
      </c>
      <c r="AB9" s="3">
        <v>219</v>
      </c>
      <c r="AC9" s="3">
        <v>186</v>
      </c>
      <c r="AD9" s="3">
        <v>143</v>
      </c>
      <c r="AE9" s="3">
        <v>122</v>
      </c>
      <c r="AF9" s="3">
        <v>143</v>
      </c>
      <c r="AG9" s="3">
        <v>130</v>
      </c>
      <c r="AH9" s="3">
        <v>143</v>
      </c>
      <c r="AI9" s="3">
        <v>330</v>
      </c>
      <c r="AJ9" s="3">
        <v>265</v>
      </c>
      <c r="AK9" s="3">
        <v>232</v>
      </c>
      <c r="AL9" s="3">
        <v>265</v>
      </c>
      <c r="AM9" s="3">
        <v>245</v>
      </c>
      <c r="AN9" s="3">
        <v>265</v>
      </c>
    </row>
    <row r="10" spans="2:40" x14ac:dyDescent="0.35">
      <c r="B10" s="1">
        <v>3</v>
      </c>
      <c r="C10" s="1" t="s">
        <v>51</v>
      </c>
      <c r="D10" s="1">
        <v>2</v>
      </c>
      <c r="E10" s="3">
        <v>633</v>
      </c>
      <c r="F10" s="3">
        <v>420</v>
      </c>
      <c r="G10" s="3">
        <v>475</v>
      </c>
      <c r="H10" s="3">
        <v>420</v>
      </c>
      <c r="I10" s="3">
        <v>454</v>
      </c>
      <c r="J10" s="3">
        <v>420</v>
      </c>
      <c r="K10" s="3">
        <v>542</v>
      </c>
      <c r="L10" s="3">
        <v>363</v>
      </c>
      <c r="M10" s="3">
        <v>411</v>
      </c>
      <c r="N10" s="3">
        <v>363</v>
      </c>
      <c r="O10" s="3">
        <v>391</v>
      </c>
      <c r="P10" s="3">
        <v>363</v>
      </c>
      <c r="Q10" s="3">
        <v>1127</v>
      </c>
      <c r="R10" s="3">
        <v>748</v>
      </c>
      <c r="S10" s="3">
        <v>844</v>
      </c>
      <c r="T10" s="3">
        <v>748</v>
      </c>
      <c r="U10" s="3">
        <v>805</v>
      </c>
      <c r="V10" s="3">
        <v>748</v>
      </c>
      <c r="W10" s="3">
        <v>1127</v>
      </c>
      <c r="X10" s="3">
        <v>748</v>
      </c>
      <c r="Y10" s="3">
        <v>844</v>
      </c>
      <c r="Z10" s="3">
        <v>748</v>
      </c>
      <c r="AA10" s="3">
        <v>805</v>
      </c>
      <c r="AB10" s="3">
        <v>748</v>
      </c>
      <c r="AC10" s="3">
        <v>542</v>
      </c>
      <c r="AD10" s="3">
        <v>363</v>
      </c>
      <c r="AE10" s="3">
        <v>411</v>
      </c>
      <c r="AF10" s="3">
        <v>363</v>
      </c>
      <c r="AG10" s="3">
        <v>391</v>
      </c>
      <c r="AH10" s="3">
        <v>363</v>
      </c>
      <c r="AI10" s="3">
        <v>1127</v>
      </c>
      <c r="AJ10" s="3">
        <v>748</v>
      </c>
      <c r="AK10" s="3">
        <v>844</v>
      </c>
      <c r="AL10" s="3">
        <v>748</v>
      </c>
      <c r="AM10" s="3">
        <v>805</v>
      </c>
      <c r="AN10" s="3">
        <v>748</v>
      </c>
    </row>
    <row r="11" spans="2:40" x14ac:dyDescent="0.35">
      <c r="B11" s="1"/>
      <c r="C11" s="12" t="s">
        <v>52</v>
      </c>
      <c r="D11" s="1"/>
      <c r="E11" s="3">
        <f t="shared" ref="E11:AN11" si="0">SUM(E8:E10)</f>
        <v>1077</v>
      </c>
      <c r="F11" s="3">
        <f t="shared" si="0"/>
        <v>762</v>
      </c>
      <c r="G11" s="3">
        <f t="shared" si="0"/>
        <v>766</v>
      </c>
      <c r="H11" s="3">
        <f t="shared" si="0"/>
        <v>762</v>
      </c>
      <c r="I11" s="3">
        <f t="shared" si="0"/>
        <v>765</v>
      </c>
      <c r="J11" s="3">
        <f t="shared" si="0"/>
        <v>762</v>
      </c>
      <c r="K11" s="3">
        <f t="shared" si="0"/>
        <v>899</v>
      </c>
      <c r="L11" s="3">
        <f t="shared" si="0"/>
        <v>639</v>
      </c>
      <c r="M11" s="3">
        <f t="shared" si="0"/>
        <v>645</v>
      </c>
      <c r="N11" s="3">
        <f t="shared" si="0"/>
        <v>639</v>
      </c>
      <c r="O11" s="3">
        <f t="shared" si="0"/>
        <v>641</v>
      </c>
      <c r="P11" s="3">
        <f t="shared" si="0"/>
        <v>639</v>
      </c>
      <c r="Q11" s="3">
        <f t="shared" si="0"/>
        <v>1571</v>
      </c>
      <c r="R11" s="3">
        <f t="shared" si="0"/>
        <v>1090</v>
      </c>
      <c r="S11" s="3">
        <f t="shared" si="0"/>
        <v>1135</v>
      </c>
      <c r="T11" s="3">
        <f t="shared" si="0"/>
        <v>1090</v>
      </c>
      <c r="U11" s="3">
        <f t="shared" si="0"/>
        <v>1116</v>
      </c>
      <c r="V11" s="3">
        <f t="shared" si="0"/>
        <v>1090</v>
      </c>
      <c r="W11" s="3">
        <f t="shared" si="0"/>
        <v>1750</v>
      </c>
      <c r="X11" s="3">
        <f t="shared" si="0"/>
        <v>1228</v>
      </c>
      <c r="Y11" s="3">
        <f t="shared" si="0"/>
        <v>1252</v>
      </c>
      <c r="Z11" s="3">
        <f t="shared" si="0"/>
        <v>1228</v>
      </c>
      <c r="AA11" s="3">
        <f t="shared" si="0"/>
        <v>1242</v>
      </c>
      <c r="AB11" s="3">
        <f t="shared" si="0"/>
        <v>1228</v>
      </c>
      <c r="AC11" s="3">
        <f t="shared" si="0"/>
        <v>986</v>
      </c>
      <c r="AD11" s="3">
        <f t="shared" si="0"/>
        <v>705</v>
      </c>
      <c r="AE11" s="3">
        <f t="shared" si="0"/>
        <v>702</v>
      </c>
      <c r="AF11" s="3">
        <f t="shared" si="0"/>
        <v>705</v>
      </c>
      <c r="AG11" s="3">
        <f t="shared" si="0"/>
        <v>702</v>
      </c>
      <c r="AH11" s="3">
        <f t="shared" si="0"/>
        <v>705</v>
      </c>
      <c r="AI11" s="3">
        <f t="shared" si="0"/>
        <v>1842</v>
      </c>
      <c r="AJ11" s="3">
        <f t="shared" si="0"/>
        <v>1320</v>
      </c>
      <c r="AK11" s="3">
        <f t="shared" si="0"/>
        <v>1344</v>
      </c>
      <c r="AL11" s="3">
        <f t="shared" si="0"/>
        <v>1320</v>
      </c>
      <c r="AM11" s="3">
        <f t="shared" si="0"/>
        <v>1334</v>
      </c>
      <c r="AN11" s="3">
        <f t="shared" si="0"/>
        <v>1320</v>
      </c>
    </row>
    <row r="12" spans="2:40" x14ac:dyDescent="0.35">
      <c r="B12" s="1"/>
      <c r="C12" s="12" t="s">
        <v>15</v>
      </c>
      <c r="D12" s="1"/>
      <c r="E12" s="13">
        <v>1653</v>
      </c>
      <c r="F12" s="13">
        <v>1018</v>
      </c>
      <c r="G12" s="13">
        <v>803</v>
      </c>
      <c r="H12" s="13">
        <v>693</v>
      </c>
      <c r="I12" s="13">
        <v>623</v>
      </c>
      <c r="J12" s="13">
        <v>583</v>
      </c>
      <c r="K12" s="13">
        <v>1653</v>
      </c>
      <c r="L12" s="13">
        <v>1018</v>
      </c>
      <c r="M12" s="13">
        <v>803</v>
      </c>
      <c r="N12" s="13">
        <v>693</v>
      </c>
      <c r="O12" s="13">
        <v>623</v>
      </c>
      <c r="P12" s="13">
        <v>583</v>
      </c>
      <c r="Q12" s="13">
        <v>1653</v>
      </c>
      <c r="R12" s="13">
        <v>1018</v>
      </c>
      <c r="S12" s="13">
        <v>803</v>
      </c>
      <c r="T12" s="13">
        <v>693</v>
      </c>
      <c r="U12" s="13">
        <v>623</v>
      </c>
      <c r="V12" s="13">
        <v>583</v>
      </c>
      <c r="W12" s="13">
        <v>1853</v>
      </c>
      <c r="X12" s="13">
        <v>1218</v>
      </c>
      <c r="Y12" s="13">
        <v>1003</v>
      </c>
      <c r="Z12" s="13">
        <v>893</v>
      </c>
      <c r="AA12" s="13">
        <v>823</v>
      </c>
      <c r="AB12" s="13">
        <v>783</v>
      </c>
      <c r="AC12" s="13">
        <v>1853</v>
      </c>
      <c r="AD12" s="13">
        <v>1218</v>
      </c>
      <c r="AE12" s="13">
        <v>1003</v>
      </c>
      <c r="AF12" s="13">
        <v>893</v>
      </c>
      <c r="AG12" s="13">
        <v>823</v>
      </c>
      <c r="AH12" s="13">
        <v>783</v>
      </c>
      <c r="AI12" s="13">
        <v>1853</v>
      </c>
      <c r="AJ12" s="13">
        <v>1218</v>
      </c>
      <c r="AK12" s="13">
        <v>1003</v>
      </c>
      <c r="AL12" s="13">
        <v>893</v>
      </c>
      <c r="AM12" s="13">
        <v>823</v>
      </c>
      <c r="AN12" s="13">
        <v>783</v>
      </c>
    </row>
    <row r="13" spans="2:40" x14ac:dyDescent="0.35">
      <c r="B13" s="1"/>
      <c r="C13" s="28" t="s">
        <v>53</v>
      </c>
      <c r="D13" s="1"/>
      <c r="E13" s="13">
        <f t="shared" ref="E13:AN13" si="1">SUM(E10:E12)</f>
        <v>3363</v>
      </c>
      <c r="F13" s="13">
        <f t="shared" si="1"/>
        <v>2200</v>
      </c>
      <c r="G13" s="13">
        <f t="shared" si="1"/>
        <v>2044</v>
      </c>
      <c r="H13" s="13">
        <f t="shared" si="1"/>
        <v>1875</v>
      </c>
      <c r="I13" s="13">
        <f t="shared" si="1"/>
        <v>1842</v>
      </c>
      <c r="J13" s="13">
        <f t="shared" si="1"/>
        <v>1765</v>
      </c>
      <c r="K13" s="13">
        <f t="shared" si="1"/>
        <v>3094</v>
      </c>
      <c r="L13" s="13">
        <f t="shared" si="1"/>
        <v>2020</v>
      </c>
      <c r="M13" s="13">
        <f t="shared" si="1"/>
        <v>1859</v>
      </c>
      <c r="N13" s="13">
        <f t="shared" si="1"/>
        <v>1695</v>
      </c>
      <c r="O13" s="13">
        <f t="shared" si="1"/>
        <v>1655</v>
      </c>
      <c r="P13" s="13">
        <f t="shared" si="1"/>
        <v>1585</v>
      </c>
      <c r="Q13" s="13">
        <f t="shared" si="1"/>
        <v>4351</v>
      </c>
      <c r="R13" s="13">
        <f t="shared" si="1"/>
        <v>2856</v>
      </c>
      <c r="S13" s="13">
        <f t="shared" si="1"/>
        <v>2782</v>
      </c>
      <c r="T13" s="13">
        <f t="shared" si="1"/>
        <v>2531</v>
      </c>
      <c r="U13" s="13">
        <f t="shared" si="1"/>
        <v>2544</v>
      </c>
      <c r="V13" s="13">
        <f t="shared" si="1"/>
        <v>2421</v>
      </c>
      <c r="W13" s="13">
        <f t="shared" si="1"/>
        <v>4730</v>
      </c>
      <c r="X13" s="13">
        <f t="shared" si="1"/>
        <v>3194</v>
      </c>
      <c r="Y13" s="13">
        <f t="shared" si="1"/>
        <v>3099</v>
      </c>
      <c r="Z13" s="13">
        <f t="shared" si="1"/>
        <v>2869</v>
      </c>
      <c r="AA13" s="13">
        <f t="shared" si="1"/>
        <v>2870</v>
      </c>
      <c r="AB13" s="13">
        <f t="shared" si="1"/>
        <v>2759</v>
      </c>
      <c r="AC13" s="13">
        <f t="shared" si="1"/>
        <v>3381</v>
      </c>
      <c r="AD13" s="13">
        <f t="shared" si="1"/>
        <v>2286</v>
      </c>
      <c r="AE13" s="13">
        <f t="shared" si="1"/>
        <v>2116</v>
      </c>
      <c r="AF13" s="13">
        <f t="shared" si="1"/>
        <v>1961</v>
      </c>
      <c r="AG13" s="13">
        <f t="shared" si="1"/>
        <v>1916</v>
      </c>
      <c r="AH13" s="13">
        <f t="shared" si="1"/>
        <v>1851</v>
      </c>
      <c r="AI13" s="13">
        <f t="shared" si="1"/>
        <v>4822</v>
      </c>
      <c r="AJ13" s="13">
        <f t="shared" si="1"/>
        <v>3286</v>
      </c>
      <c r="AK13" s="13">
        <f t="shared" si="1"/>
        <v>3191</v>
      </c>
      <c r="AL13" s="13">
        <f t="shared" si="1"/>
        <v>2961</v>
      </c>
      <c r="AM13" s="13">
        <f t="shared" si="1"/>
        <v>2962</v>
      </c>
      <c r="AN13" s="3">
        <f t="shared" si="1"/>
        <v>2851</v>
      </c>
    </row>
    <row r="14" spans="2:40" x14ac:dyDescent="0.35">
      <c r="B14" s="1"/>
      <c r="C14" s="14"/>
      <c r="D14" s="1"/>
    </row>
    <row r="15" spans="2:40" x14ac:dyDescent="0.35">
      <c r="C15" s="15"/>
    </row>
    <row r="16" spans="2:40" x14ac:dyDescent="0.35">
      <c r="C16" s="15"/>
      <c r="E16" s="16" t="s">
        <v>16</v>
      </c>
      <c r="J16" t="s">
        <v>54</v>
      </c>
    </row>
    <row r="17" spans="2:29" x14ac:dyDescent="0.35">
      <c r="C17" s="16" t="s">
        <v>17</v>
      </c>
      <c r="M17" s="16" t="s">
        <v>86</v>
      </c>
      <c r="AC17" s="16"/>
    </row>
    <row r="18" spans="2:29" x14ac:dyDescent="0.35">
      <c r="B18" t="s">
        <v>10</v>
      </c>
      <c r="C18" s="1" t="s">
        <v>19</v>
      </c>
      <c r="D18" s="1">
        <v>1</v>
      </c>
      <c r="E18" s="1">
        <v>2</v>
      </c>
      <c r="F18" s="1">
        <v>3</v>
      </c>
      <c r="G18" s="1">
        <v>4</v>
      </c>
      <c r="H18" s="1">
        <v>5</v>
      </c>
      <c r="I18" s="1">
        <v>6</v>
      </c>
      <c r="L18" t="s">
        <v>10</v>
      </c>
      <c r="M18" s="1" t="s">
        <v>19</v>
      </c>
      <c r="N18" s="1">
        <v>1</v>
      </c>
      <c r="O18" s="1">
        <v>2</v>
      </c>
      <c r="P18" s="1">
        <v>3</v>
      </c>
      <c r="Q18" s="1">
        <v>4</v>
      </c>
      <c r="R18" s="1">
        <v>5</v>
      </c>
      <c r="S18" s="1">
        <v>6</v>
      </c>
    </row>
    <row r="19" spans="2:29" x14ac:dyDescent="0.35">
      <c r="B19" s="1">
        <v>1</v>
      </c>
      <c r="C19" s="1" t="s">
        <v>30</v>
      </c>
      <c r="D19" s="1">
        <v>200</v>
      </c>
      <c r="E19" s="1">
        <v>200</v>
      </c>
      <c r="F19" s="1">
        <v>200</v>
      </c>
      <c r="G19" s="1">
        <v>200</v>
      </c>
      <c r="H19" s="1">
        <v>200</v>
      </c>
      <c r="I19" s="1">
        <v>200</v>
      </c>
      <c r="L19" s="1">
        <v>1</v>
      </c>
      <c r="M19" s="1" t="s">
        <v>30</v>
      </c>
      <c r="N19" s="1">
        <v>400</v>
      </c>
      <c r="O19" s="1">
        <v>400</v>
      </c>
      <c r="P19" s="1">
        <v>400</v>
      </c>
      <c r="Q19" s="1">
        <v>400</v>
      </c>
      <c r="R19" s="1">
        <v>400</v>
      </c>
      <c r="S19" s="1">
        <v>400</v>
      </c>
    </row>
    <row r="20" spans="2:29" x14ac:dyDescent="0.35">
      <c r="B20" s="1">
        <v>2</v>
      </c>
      <c r="C20" s="1" t="s">
        <v>80</v>
      </c>
      <c r="D20" s="1">
        <v>1250</v>
      </c>
      <c r="E20" s="1">
        <v>625</v>
      </c>
      <c r="F20" s="1">
        <v>420</v>
      </c>
      <c r="G20" s="1">
        <v>315</v>
      </c>
      <c r="H20" s="1">
        <v>250</v>
      </c>
      <c r="I20" s="1">
        <v>210</v>
      </c>
      <c r="L20" s="1">
        <v>2</v>
      </c>
      <c r="M20" s="1" t="s">
        <v>55</v>
      </c>
      <c r="N20" s="1">
        <v>1250</v>
      </c>
      <c r="O20" s="1">
        <v>625</v>
      </c>
      <c r="P20" s="1">
        <v>420</v>
      </c>
      <c r="Q20" s="1">
        <v>315</v>
      </c>
      <c r="R20" s="1">
        <v>250</v>
      </c>
      <c r="S20" s="1">
        <v>210</v>
      </c>
    </row>
    <row r="21" spans="2:29" x14ac:dyDescent="0.35">
      <c r="B21" s="1">
        <v>3</v>
      </c>
      <c r="C21" s="1" t="s">
        <v>22</v>
      </c>
      <c r="D21" s="1">
        <v>30</v>
      </c>
      <c r="E21" s="1">
        <v>30</v>
      </c>
      <c r="F21" s="1">
        <v>20</v>
      </c>
      <c r="G21" s="1">
        <v>20</v>
      </c>
      <c r="H21" s="1">
        <v>15</v>
      </c>
      <c r="I21" s="1">
        <v>15</v>
      </c>
      <c r="L21" s="1">
        <v>3</v>
      </c>
      <c r="M21" s="1" t="s">
        <v>22</v>
      </c>
      <c r="N21" s="1">
        <v>30</v>
      </c>
      <c r="O21" s="1">
        <v>30</v>
      </c>
      <c r="P21" s="1">
        <v>20</v>
      </c>
      <c r="Q21" s="1">
        <v>20</v>
      </c>
      <c r="R21" s="1">
        <v>15</v>
      </c>
      <c r="S21" s="1">
        <v>15</v>
      </c>
    </row>
    <row r="22" spans="2:29" x14ac:dyDescent="0.35">
      <c r="B22" s="1">
        <v>4</v>
      </c>
      <c r="C22" s="1" t="s">
        <v>56</v>
      </c>
      <c r="D22" s="1">
        <v>30</v>
      </c>
      <c r="E22" s="1">
        <v>20</v>
      </c>
      <c r="F22" s="1">
        <v>20</v>
      </c>
      <c r="G22" s="1">
        <v>15</v>
      </c>
      <c r="H22" s="1">
        <v>15</v>
      </c>
      <c r="I22" s="1">
        <v>15</v>
      </c>
      <c r="L22" s="1">
        <v>4</v>
      </c>
      <c r="M22" s="1" t="s">
        <v>56</v>
      </c>
      <c r="N22" s="1">
        <v>30</v>
      </c>
      <c r="O22" s="1">
        <v>20</v>
      </c>
      <c r="P22" s="1">
        <v>20</v>
      </c>
      <c r="Q22" s="1">
        <v>15</v>
      </c>
      <c r="R22" s="1">
        <v>15</v>
      </c>
      <c r="S22" s="1">
        <v>15</v>
      </c>
    </row>
    <row r="23" spans="2:29" x14ac:dyDescent="0.35">
      <c r="B23" s="1">
        <v>5</v>
      </c>
      <c r="C23" s="1" t="s">
        <v>57</v>
      </c>
      <c r="D23" s="1">
        <v>33</v>
      </c>
      <c r="E23" s="1">
        <v>33</v>
      </c>
      <c r="F23" s="1">
        <v>33</v>
      </c>
      <c r="G23" s="1">
        <v>33</v>
      </c>
      <c r="H23" s="1">
        <v>33</v>
      </c>
      <c r="I23" s="1">
        <v>33</v>
      </c>
      <c r="L23" s="1">
        <v>5</v>
      </c>
      <c r="M23" s="1" t="s">
        <v>57</v>
      </c>
      <c r="N23" s="1">
        <v>33</v>
      </c>
      <c r="O23" s="1">
        <v>33</v>
      </c>
      <c r="P23" s="1">
        <v>33</v>
      </c>
      <c r="Q23" s="1">
        <v>33</v>
      </c>
      <c r="R23" s="1">
        <v>33</v>
      </c>
      <c r="S23" s="1">
        <v>33</v>
      </c>
    </row>
    <row r="24" spans="2:29" x14ac:dyDescent="0.35">
      <c r="B24" s="1">
        <v>6</v>
      </c>
      <c r="C24" s="29" t="s">
        <v>58</v>
      </c>
      <c r="D24" s="29">
        <v>20</v>
      </c>
      <c r="E24" s="29">
        <v>20</v>
      </c>
      <c r="F24" s="29">
        <v>20</v>
      </c>
      <c r="G24" s="29">
        <v>20</v>
      </c>
      <c r="H24" s="29">
        <v>20</v>
      </c>
      <c r="I24" s="29">
        <v>20</v>
      </c>
      <c r="L24" s="1">
        <v>6</v>
      </c>
      <c r="M24" s="29" t="s">
        <v>59</v>
      </c>
      <c r="N24" s="29">
        <v>20</v>
      </c>
      <c r="O24" s="29">
        <v>20</v>
      </c>
      <c r="P24" s="29">
        <v>20</v>
      </c>
      <c r="Q24" s="29">
        <v>20</v>
      </c>
      <c r="R24" s="29">
        <v>20</v>
      </c>
      <c r="S24" s="29">
        <v>20</v>
      </c>
    </row>
    <row r="25" spans="2:29" x14ac:dyDescent="0.35">
      <c r="B25" s="1">
        <v>7</v>
      </c>
      <c r="C25" s="29" t="s">
        <v>84</v>
      </c>
      <c r="D25" s="29">
        <v>90</v>
      </c>
      <c r="E25" s="29">
        <v>90</v>
      </c>
      <c r="F25" s="29">
        <v>90</v>
      </c>
      <c r="G25" s="29">
        <v>90</v>
      </c>
      <c r="H25" s="29">
        <v>90</v>
      </c>
      <c r="I25" s="29">
        <v>90</v>
      </c>
      <c r="L25" s="1"/>
      <c r="M25" s="29" t="s">
        <v>85</v>
      </c>
      <c r="N25" s="29">
        <v>90</v>
      </c>
      <c r="O25" s="29">
        <v>90</v>
      </c>
      <c r="P25" s="29">
        <v>90</v>
      </c>
      <c r="Q25" s="29">
        <v>90</v>
      </c>
      <c r="R25" s="29">
        <v>90</v>
      </c>
      <c r="S25" s="29">
        <v>90</v>
      </c>
    </row>
    <row r="26" spans="2:29" x14ac:dyDescent="0.35">
      <c r="B26" s="1"/>
      <c r="C26" s="28" t="s">
        <v>14</v>
      </c>
      <c r="D26" s="24">
        <f t="shared" ref="D26:I26" si="2">SUM(D19:D25)</f>
        <v>1653</v>
      </c>
      <c r="E26" s="24">
        <f t="shared" si="2"/>
        <v>1018</v>
      </c>
      <c r="F26" s="24">
        <f t="shared" si="2"/>
        <v>803</v>
      </c>
      <c r="G26" s="24">
        <f t="shared" si="2"/>
        <v>693</v>
      </c>
      <c r="H26" s="24">
        <f t="shared" si="2"/>
        <v>623</v>
      </c>
      <c r="I26" s="24">
        <f t="shared" si="2"/>
        <v>583</v>
      </c>
      <c r="L26" s="1"/>
      <c r="M26" s="28" t="s">
        <v>14</v>
      </c>
      <c r="N26" s="24">
        <f t="shared" ref="N26:S26" si="3">SUM(N19:N25)</f>
        <v>1853</v>
      </c>
      <c r="O26" s="24">
        <f t="shared" si="3"/>
        <v>1218</v>
      </c>
      <c r="P26" s="24">
        <f t="shared" si="3"/>
        <v>1003</v>
      </c>
      <c r="Q26" s="24">
        <f t="shared" si="3"/>
        <v>893</v>
      </c>
      <c r="R26" s="24">
        <f t="shared" si="3"/>
        <v>823</v>
      </c>
      <c r="S26" s="24">
        <f t="shared" si="3"/>
        <v>783</v>
      </c>
    </row>
    <row r="27" spans="2:29" x14ac:dyDescent="0.35">
      <c r="B27" s="1"/>
      <c r="C27" s="12"/>
      <c r="D27" s="30"/>
      <c r="L27" s="1"/>
      <c r="M27" s="12"/>
      <c r="N27" s="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N24"/>
  <sheetViews>
    <sheetView workbookViewId="0">
      <selection activeCell="AK19" sqref="AK19"/>
    </sheetView>
  </sheetViews>
  <sheetFormatPr defaultRowHeight="14.5" x14ac:dyDescent="0.35"/>
  <cols>
    <col min="3" max="3" width="14.26953125" customWidth="1"/>
  </cols>
  <sheetData>
    <row r="2" spans="2:40" x14ac:dyDescent="0.35">
      <c r="H2" s="16" t="s">
        <v>87</v>
      </c>
    </row>
    <row r="4" spans="2:40" x14ac:dyDescent="0.35">
      <c r="B4" s="1"/>
      <c r="C4" s="1"/>
      <c r="D4" s="1"/>
      <c r="E4" s="2" t="s">
        <v>0</v>
      </c>
      <c r="F4" s="3"/>
      <c r="G4" s="3"/>
      <c r="H4" s="3"/>
      <c r="I4" s="3"/>
      <c r="J4" s="3"/>
      <c r="K4" s="4" t="s">
        <v>1</v>
      </c>
      <c r="L4" s="5"/>
      <c r="M4" s="5"/>
      <c r="N4" s="5"/>
      <c r="O4" s="5"/>
      <c r="P4" s="5"/>
      <c r="Q4" s="4" t="s">
        <v>67</v>
      </c>
      <c r="R4" s="5"/>
      <c r="S4" s="5"/>
      <c r="T4" s="5"/>
      <c r="U4" s="5"/>
      <c r="V4" s="5"/>
      <c r="W4" s="6" t="s">
        <v>68</v>
      </c>
      <c r="X4" s="7"/>
      <c r="Y4" s="7"/>
      <c r="Z4" s="7"/>
      <c r="AA4" s="7"/>
      <c r="AB4" s="7"/>
      <c r="AC4" s="8" t="s">
        <v>158</v>
      </c>
      <c r="AD4" s="9"/>
      <c r="AE4" s="9"/>
      <c r="AF4" s="9"/>
      <c r="AG4" s="9"/>
      <c r="AH4" s="9"/>
      <c r="AI4" s="10" t="s">
        <v>24</v>
      </c>
      <c r="AJ4" s="11"/>
      <c r="AK4" s="11"/>
      <c r="AL4" s="11"/>
      <c r="AM4" s="11"/>
      <c r="AN4" s="11"/>
    </row>
    <row r="5" spans="2:40" x14ac:dyDescent="0.35">
      <c r="B5" s="1"/>
      <c r="C5" s="1"/>
      <c r="D5" s="1"/>
      <c r="E5" s="3" t="s">
        <v>5</v>
      </c>
      <c r="F5" s="3"/>
      <c r="G5" s="3"/>
      <c r="H5" s="3"/>
      <c r="I5" s="3"/>
      <c r="J5" s="3"/>
      <c r="K5" s="5" t="s">
        <v>6</v>
      </c>
      <c r="L5" s="5"/>
      <c r="M5" s="5"/>
      <c r="N5" s="5"/>
      <c r="O5" s="5"/>
      <c r="P5" s="5"/>
      <c r="Q5" s="5" t="s">
        <v>49</v>
      </c>
      <c r="R5" s="5"/>
      <c r="S5" s="5"/>
      <c r="T5" s="5"/>
      <c r="U5" s="5"/>
      <c r="V5" s="5"/>
      <c r="W5" s="7" t="s">
        <v>7</v>
      </c>
      <c r="X5" s="7"/>
      <c r="Y5" s="7"/>
      <c r="Z5" s="7"/>
      <c r="AA5" s="7"/>
      <c r="AB5" s="7"/>
      <c r="AC5" s="9" t="s">
        <v>8</v>
      </c>
      <c r="AD5" s="9"/>
      <c r="AE5" s="9"/>
      <c r="AF5" s="9"/>
      <c r="AG5" s="9"/>
      <c r="AH5" s="9"/>
      <c r="AI5" s="10" t="s">
        <v>9</v>
      </c>
      <c r="AJ5" s="11"/>
      <c r="AK5" s="11"/>
      <c r="AL5" s="11"/>
      <c r="AM5" s="11"/>
      <c r="AN5" s="11"/>
    </row>
    <row r="6" spans="2:40" x14ac:dyDescent="0.35">
      <c r="B6" s="1" t="s">
        <v>10</v>
      </c>
      <c r="C6" s="1" t="s">
        <v>11</v>
      </c>
      <c r="D6" s="1" t="s">
        <v>12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5">
        <v>1</v>
      </c>
      <c r="L6" s="35">
        <v>2</v>
      </c>
      <c r="M6" s="35">
        <v>3</v>
      </c>
      <c r="N6" s="35">
        <v>4</v>
      </c>
      <c r="O6" s="35">
        <v>5</v>
      </c>
      <c r="P6" s="35">
        <v>6</v>
      </c>
      <c r="Q6" s="5">
        <v>1</v>
      </c>
      <c r="R6" s="5">
        <v>2</v>
      </c>
      <c r="S6" s="5">
        <v>3</v>
      </c>
      <c r="T6" s="5">
        <v>4</v>
      </c>
      <c r="U6" s="5">
        <v>5</v>
      </c>
      <c r="V6" s="5">
        <v>6</v>
      </c>
      <c r="W6" s="7">
        <v>1</v>
      </c>
      <c r="X6" s="7">
        <v>2</v>
      </c>
      <c r="Y6" s="7">
        <v>3</v>
      </c>
      <c r="Z6" s="7">
        <v>4</v>
      </c>
      <c r="AA6" s="7">
        <v>5</v>
      </c>
      <c r="AB6" s="7">
        <v>6</v>
      </c>
      <c r="AC6" s="9">
        <v>1</v>
      </c>
      <c r="AD6" s="9">
        <v>2</v>
      </c>
      <c r="AE6" s="9">
        <v>3</v>
      </c>
      <c r="AF6" s="9">
        <v>4</v>
      </c>
      <c r="AG6" s="9">
        <v>5</v>
      </c>
      <c r="AH6" s="9">
        <v>6</v>
      </c>
      <c r="AI6" s="11">
        <v>1</v>
      </c>
      <c r="AJ6" s="11">
        <v>2</v>
      </c>
      <c r="AK6" s="11">
        <v>3</v>
      </c>
      <c r="AL6" s="11">
        <v>4</v>
      </c>
      <c r="AM6" s="11">
        <v>5</v>
      </c>
      <c r="AN6" s="11">
        <v>6</v>
      </c>
    </row>
    <row r="7" spans="2:40" x14ac:dyDescent="0.35">
      <c r="B7" s="1">
        <v>1</v>
      </c>
      <c r="C7" s="1" t="s">
        <v>77</v>
      </c>
      <c r="D7" s="1">
        <v>2</v>
      </c>
      <c r="E7" s="3">
        <v>542</v>
      </c>
      <c r="F7" s="3">
        <v>364</v>
      </c>
      <c r="G7" s="3">
        <v>366</v>
      </c>
      <c r="H7" s="3">
        <v>364</v>
      </c>
      <c r="I7" s="3">
        <v>364</v>
      </c>
      <c r="J7" s="3">
        <v>364</v>
      </c>
      <c r="K7" s="35">
        <v>450</v>
      </c>
      <c r="L7" s="35">
        <v>300</v>
      </c>
      <c r="M7" s="35">
        <v>300</v>
      </c>
      <c r="N7" s="35">
        <v>300</v>
      </c>
      <c r="O7" s="35">
        <v>300</v>
      </c>
      <c r="P7" s="35">
        <v>300</v>
      </c>
      <c r="Q7" s="3">
        <v>690</v>
      </c>
      <c r="R7" s="3">
        <v>466</v>
      </c>
      <c r="S7" s="3">
        <v>468</v>
      </c>
      <c r="T7" s="3">
        <v>466</v>
      </c>
      <c r="U7" s="3">
        <v>468</v>
      </c>
      <c r="V7" s="3">
        <v>466</v>
      </c>
      <c r="W7" s="3">
        <v>690</v>
      </c>
      <c r="X7" s="3">
        <v>466</v>
      </c>
      <c r="Y7" s="3">
        <v>468</v>
      </c>
      <c r="Z7" s="3">
        <v>466</v>
      </c>
      <c r="AA7" s="3">
        <v>468</v>
      </c>
      <c r="AB7" s="3">
        <v>466</v>
      </c>
      <c r="AC7" s="3">
        <v>542</v>
      </c>
      <c r="AD7" s="3">
        <v>364</v>
      </c>
      <c r="AE7" s="3">
        <v>366</v>
      </c>
      <c r="AF7" s="3">
        <v>364</v>
      </c>
      <c r="AG7" s="3">
        <v>364</v>
      </c>
      <c r="AH7" s="3">
        <v>364</v>
      </c>
      <c r="AI7" s="3">
        <v>690</v>
      </c>
      <c r="AJ7" s="3">
        <v>466</v>
      </c>
      <c r="AK7" s="3">
        <v>468</v>
      </c>
      <c r="AL7" s="3">
        <v>466</v>
      </c>
      <c r="AM7" s="3">
        <v>468</v>
      </c>
      <c r="AN7" s="3">
        <v>466</v>
      </c>
    </row>
    <row r="8" spans="2:40" x14ac:dyDescent="0.35">
      <c r="B8" s="1">
        <v>2</v>
      </c>
      <c r="C8" s="1" t="s">
        <v>69</v>
      </c>
      <c r="D8" s="1">
        <v>1</v>
      </c>
      <c r="E8" s="3">
        <v>248</v>
      </c>
      <c r="F8" s="3">
        <v>161</v>
      </c>
      <c r="G8" s="3">
        <v>140</v>
      </c>
      <c r="H8" s="3">
        <v>161</v>
      </c>
      <c r="I8" s="3">
        <v>149</v>
      </c>
      <c r="J8" s="3">
        <v>161</v>
      </c>
      <c r="K8" s="35">
        <v>114</v>
      </c>
      <c r="L8" s="35">
        <v>114</v>
      </c>
      <c r="M8" s="35">
        <v>100</v>
      </c>
      <c r="N8" s="35">
        <v>114</v>
      </c>
      <c r="O8" s="35">
        <v>105</v>
      </c>
      <c r="P8" s="35">
        <v>114</v>
      </c>
      <c r="Q8" s="3">
        <v>414</v>
      </c>
      <c r="R8" s="3">
        <v>256</v>
      </c>
      <c r="S8" s="3">
        <v>222</v>
      </c>
      <c r="T8" s="3">
        <v>256</v>
      </c>
      <c r="U8" s="3">
        <v>236</v>
      </c>
      <c r="V8" s="3">
        <v>256</v>
      </c>
      <c r="W8" s="7">
        <v>414</v>
      </c>
      <c r="X8" s="7">
        <v>256</v>
      </c>
      <c r="Y8" s="7">
        <v>222</v>
      </c>
      <c r="Z8" s="7">
        <v>256</v>
      </c>
      <c r="AA8" s="7">
        <v>236</v>
      </c>
      <c r="AB8" s="7">
        <v>256</v>
      </c>
      <c r="AC8" s="3">
        <v>248</v>
      </c>
      <c r="AD8" s="3">
        <v>161</v>
      </c>
      <c r="AE8" s="3">
        <v>140</v>
      </c>
      <c r="AF8" s="3">
        <v>161</v>
      </c>
      <c r="AG8" s="3">
        <v>149</v>
      </c>
      <c r="AH8" s="3">
        <v>161</v>
      </c>
      <c r="AI8" s="7">
        <v>462</v>
      </c>
      <c r="AJ8" s="7">
        <v>289</v>
      </c>
      <c r="AK8" s="7">
        <v>250</v>
      </c>
      <c r="AL8" s="7">
        <v>289</v>
      </c>
      <c r="AM8" s="7">
        <v>266</v>
      </c>
      <c r="AN8" s="7">
        <v>289</v>
      </c>
    </row>
    <row r="9" spans="2:40" x14ac:dyDescent="0.35">
      <c r="B9" s="1">
        <v>3</v>
      </c>
      <c r="C9" s="1" t="s">
        <v>89</v>
      </c>
      <c r="D9" s="1">
        <v>2</v>
      </c>
      <c r="E9" s="3">
        <v>683</v>
      </c>
      <c r="F9" s="3">
        <v>422</v>
      </c>
      <c r="G9" s="3">
        <v>368</v>
      </c>
      <c r="H9" s="3">
        <v>422</v>
      </c>
      <c r="I9" s="3">
        <v>389</v>
      </c>
      <c r="J9" s="3">
        <v>422</v>
      </c>
      <c r="K9" s="35">
        <v>332</v>
      </c>
      <c r="L9" s="35">
        <v>330</v>
      </c>
      <c r="M9" s="35">
        <v>286</v>
      </c>
      <c r="N9" s="35">
        <v>330</v>
      </c>
      <c r="O9" s="35">
        <v>310</v>
      </c>
      <c r="P9" s="35">
        <v>330</v>
      </c>
      <c r="Q9" s="3">
        <v>1190</v>
      </c>
      <c r="R9" s="3">
        <v>699</v>
      </c>
      <c r="S9" s="3">
        <v>605</v>
      </c>
      <c r="T9" s="3">
        <v>699</v>
      </c>
      <c r="U9" s="3">
        <v>642</v>
      </c>
      <c r="V9" s="3">
        <v>699</v>
      </c>
      <c r="W9" s="3">
        <v>1190</v>
      </c>
      <c r="X9" s="3">
        <v>699</v>
      </c>
      <c r="Y9" s="3">
        <v>605</v>
      </c>
      <c r="Z9" s="3">
        <v>699</v>
      </c>
      <c r="AA9" s="3">
        <v>642</v>
      </c>
      <c r="AB9" s="3">
        <v>699</v>
      </c>
      <c r="AC9" s="3">
        <v>683</v>
      </c>
      <c r="AD9" s="3">
        <v>422</v>
      </c>
      <c r="AE9" s="3">
        <v>368</v>
      </c>
      <c r="AF9" s="3">
        <v>422</v>
      </c>
      <c r="AG9" s="3">
        <v>389</v>
      </c>
      <c r="AH9" s="3">
        <v>422</v>
      </c>
      <c r="AI9" s="3">
        <v>1139</v>
      </c>
      <c r="AJ9" s="3">
        <v>672</v>
      </c>
      <c r="AK9" s="3">
        <v>584</v>
      </c>
      <c r="AL9" s="3">
        <v>672</v>
      </c>
      <c r="AM9" s="3">
        <v>620</v>
      </c>
      <c r="AN9" s="3">
        <v>672</v>
      </c>
    </row>
    <row r="10" spans="2:40" x14ac:dyDescent="0.35">
      <c r="B10" s="1"/>
      <c r="C10" s="12" t="s">
        <v>14</v>
      </c>
      <c r="D10" s="1">
        <v>5</v>
      </c>
      <c r="E10" s="3">
        <f t="shared" ref="E10:AN10" si="0">SUM(E7:E9)</f>
        <v>1473</v>
      </c>
      <c r="F10" s="3">
        <f t="shared" si="0"/>
        <v>947</v>
      </c>
      <c r="G10" s="3">
        <f t="shared" si="0"/>
        <v>874</v>
      </c>
      <c r="H10" s="3">
        <f t="shared" si="0"/>
        <v>947</v>
      </c>
      <c r="I10" s="3">
        <f t="shared" si="0"/>
        <v>902</v>
      </c>
      <c r="J10" s="3">
        <f t="shared" si="0"/>
        <v>947</v>
      </c>
      <c r="K10" s="35">
        <f t="shared" si="0"/>
        <v>896</v>
      </c>
      <c r="L10" s="35">
        <f t="shared" si="0"/>
        <v>744</v>
      </c>
      <c r="M10" s="35">
        <f t="shared" si="0"/>
        <v>686</v>
      </c>
      <c r="N10" s="35">
        <f t="shared" si="0"/>
        <v>744</v>
      </c>
      <c r="O10" s="35">
        <f t="shared" si="0"/>
        <v>715</v>
      </c>
      <c r="P10" s="35">
        <f t="shared" si="0"/>
        <v>744</v>
      </c>
      <c r="Q10" s="3">
        <f t="shared" si="0"/>
        <v>2294</v>
      </c>
      <c r="R10" s="3">
        <f t="shared" si="0"/>
        <v>1421</v>
      </c>
      <c r="S10" s="3">
        <f t="shared" si="0"/>
        <v>1295</v>
      </c>
      <c r="T10" s="3">
        <f t="shared" si="0"/>
        <v>1421</v>
      </c>
      <c r="U10" s="3">
        <f t="shared" si="0"/>
        <v>1346</v>
      </c>
      <c r="V10" s="3">
        <f t="shared" si="0"/>
        <v>1421</v>
      </c>
      <c r="W10" s="3">
        <f t="shared" si="0"/>
        <v>2294</v>
      </c>
      <c r="X10" s="3">
        <f t="shared" si="0"/>
        <v>1421</v>
      </c>
      <c r="Y10" s="3">
        <f t="shared" si="0"/>
        <v>1295</v>
      </c>
      <c r="Z10" s="3">
        <f t="shared" si="0"/>
        <v>1421</v>
      </c>
      <c r="AA10" s="3">
        <f t="shared" si="0"/>
        <v>1346</v>
      </c>
      <c r="AB10" s="3">
        <f t="shared" si="0"/>
        <v>1421</v>
      </c>
      <c r="AC10" s="3">
        <f t="shared" si="0"/>
        <v>1473</v>
      </c>
      <c r="AD10" s="3">
        <f t="shared" si="0"/>
        <v>947</v>
      </c>
      <c r="AE10" s="3">
        <f t="shared" si="0"/>
        <v>874</v>
      </c>
      <c r="AF10" s="3">
        <f t="shared" si="0"/>
        <v>947</v>
      </c>
      <c r="AG10" s="3">
        <f t="shared" si="0"/>
        <v>902</v>
      </c>
      <c r="AH10" s="3">
        <f t="shared" si="0"/>
        <v>947</v>
      </c>
      <c r="AI10" s="3">
        <f t="shared" si="0"/>
        <v>2291</v>
      </c>
      <c r="AJ10" s="3">
        <f t="shared" si="0"/>
        <v>1427</v>
      </c>
      <c r="AK10" s="3">
        <f t="shared" si="0"/>
        <v>1302</v>
      </c>
      <c r="AL10" s="3">
        <f t="shared" si="0"/>
        <v>1427</v>
      </c>
      <c r="AM10" s="3">
        <f t="shared" si="0"/>
        <v>1354</v>
      </c>
      <c r="AN10" s="3">
        <f t="shared" si="0"/>
        <v>1427</v>
      </c>
    </row>
    <row r="11" spans="2:40" x14ac:dyDescent="0.35">
      <c r="B11" s="1"/>
      <c r="C11" s="12" t="s">
        <v>15</v>
      </c>
      <c r="D11" s="1"/>
      <c r="E11" s="13">
        <v>2020</v>
      </c>
      <c r="F11" s="13">
        <v>1270</v>
      </c>
      <c r="G11" s="13">
        <v>1010</v>
      </c>
      <c r="H11" s="13">
        <v>885</v>
      </c>
      <c r="I11" s="13">
        <v>805</v>
      </c>
      <c r="J11" s="13">
        <v>755</v>
      </c>
      <c r="K11" s="13">
        <v>2020</v>
      </c>
      <c r="L11" s="13">
        <v>1270</v>
      </c>
      <c r="M11" s="13">
        <v>1010</v>
      </c>
      <c r="N11" s="13">
        <v>885</v>
      </c>
      <c r="O11" s="13">
        <v>805</v>
      </c>
      <c r="P11" s="13">
        <v>755</v>
      </c>
      <c r="Q11" s="13">
        <v>2020</v>
      </c>
      <c r="R11" s="13">
        <v>1270</v>
      </c>
      <c r="S11" s="13">
        <v>1010</v>
      </c>
      <c r="T11" s="13">
        <v>885</v>
      </c>
      <c r="U11" s="13">
        <v>805</v>
      </c>
      <c r="V11" s="13">
        <v>755</v>
      </c>
      <c r="W11" s="13">
        <v>2220</v>
      </c>
      <c r="X11" s="13">
        <v>1470</v>
      </c>
      <c r="Y11" s="13">
        <v>1210</v>
      </c>
      <c r="Z11" s="13">
        <v>1085</v>
      </c>
      <c r="AA11" s="13">
        <v>1005</v>
      </c>
      <c r="AB11" s="13">
        <v>955</v>
      </c>
      <c r="AC11" s="13">
        <v>2220</v>
      </c>
      <c r="AD11" s="13">
        <v>1470</v>
      </c>
      <c r="AE11" s="13">
        <v>1210</v>
      </c>
      <c r="AF11" s="13">
        <v>1085</v>
      </c>
      <c r="AG11" s="13">
        <v>1005</v>
      </c>
      <c r="AH11" s="13">
        <v>955</v>
      </c>
      <c r="AI11" s="13">
        <v>2220</v>
      </c>
      <c r="AJ11" s="13">
        <v>1470</v>
      </c>
      <c r="AK11" s="13">
        <v>1210</v>
      </c>
      <c r="AL11" s="13">
        <v>1085</v>
      </c>
      <c r="AM11" s="13">
        <v>1005</v>
      </c>
      <c r="AN11" s="13">
        <v>955</v>
      </c>
    </row>
    <row r="12" spans="2:40" x14ac:dyDescent="0.35">
      <c r="B12" s="1"/>
      <c r="C12" s="14" t="s">
        <v>14</v>
      </c>
      <c r="D12" s="1"/>
      <c r="E12" s="13">
        <f t="shared" ref="E12:AN12" si="1">SUM(E10:E11)</f>
        <v>3493</v>
      </c>
      <c r="F12" s="13">
        <f t="shared" si="1"/>
        <v>2217</v>
      </c>
      <c r="G12" s="13">
        <f t="shared" si="1"/>
        <v>1884</v>
      </c>
      <c r="H12" s="13">
        <f t="shared" si="1"/>
        <v>1832</v>
      </c>
      <c r="I12" s="13">
        <f t="shared" si="1"/>
        <v>1707</v>
      </c>
      <c r="J12" s="13">
        <f t="shared" si="1"/>
        <v>1702</v>
      </c>
      <c r="K12" s="13">
        <f t="shared" si="1"/>
        <v>2916</v>
      </c>
      <c r="L12" s="13">
        <f t="shared" si="1"/>
        <v>2014</v>
      </c>
      <c r="M12" s="13">
        <f t="shared" si="1"/>
        <v>1696</v>
      </c>
      <c r="N12" s="13">
        <f t="shared" si="1"/>
        <v>1629</v>
      </c>
      <c r="O12" s="13">
        <f t="shared" si="1"/>
        <v>1520</v>
      </c>
      <c r="P12" s="13">
        <f t="shared" si="1"/>
        <v>1499</v>
      </c>
      <c r="Q12" s="13">
        <f t="shared" si="1"/>
        <v>4314</v>
      </c>
      <c r="R12" s="13">
        <f t="shared" si="1"/>
        <v>2691</v>
      </c>
      <c r="S12" s="13">
        <f t="shared" si="1"/>
        <v>2305</v>
      </c>
      <c r="T12" s="13">
        <f t="shared" si="1"/>
        <v>2306</v>
      </c>
      <c r="U12" s="13">
        <f t="shared" si="1"/>
        <v>2151</v>
      </c>
      <c r="V12" s="13">
        <f t="shared" si="1"/>
        <v>2176</v>
      </c>
      <c r="W12" s="13">
        <f t="shared" si="1"/>
        <v>4514</v>
      </c>
      <c r="X12" s="13">
        <f t="shared" si="1"/>
        <v>2891</v>
      </c>
      <c r="Y12" s="13">
        <f t="shared" si="1"/>
        <v>2505</v>
      </c>
      <c r="Z12" s="13">
        <f t="shared" si="1"/>
        <v>2506</v>
      </c>
      <c r="AA12" s="13">
        <f t="shared" si="1"/>
        <v>2351</v>
      </c>
      <c r="AB12" s="13">
        <f t="shared" si="1"/>
        <v>2376</v>
      </c>
      <c r="AC12" s="13">
        <f t="shared" si="1"/>
        <v>3693</v>
      </c>
      <c r="AD12" s="13">
        <f t="shared" si="1"/>
        <v>2417</v>
      </c>
      <c r="AE12" s="13">
        <f t="shared" si="1"/>
        <v>2084</v>
      </c>
      <c r="AF12" s="13">
        <f t="shared" si="1"/>
        <v>2032</v>
      </c>
      <c r="AG12" s="13">
        <f t="shared" si="1"/>
        <v>1907</v>
      </c>
      <c r="AH12" s="13">
        <f t="shared" si="1"/>
        <v>1902</v>
      </c>
      <c r="AI12" s="13">
        <f t="shared" si="1"/>
        <v>4511</v>
      </c>
      <c r="AJ12" s="13">
        <f t="shared" si="1"/>
        <v>2897</v>
      </c>
      <c r="AK12" s="13">
        <f t="shared" si="1"/>
        <v>2512</v>
      </c>
      <c r="AL12" s="13">
        <f t="shared" si="1"/>
        <v>2512</v>
      </c>
      <c r="AM12" s="13">
        <f t="shared" si="1"/>
        <v>2359</v>
      </c>
      <c r="AN12" s="3">
        <f t="shared" si="1"/>
        <v>2382</v>
      </c>
    </row>
    <row r="13" spans="2:40" x14ac:dyDescent="0.35">
      <c r="C13" s="15"/>
    </row>
    <row r="14" spans="2:40" x14ac:dyDescent="0.35">
      <c r="E14" s="16" t="s">
        <v>16</v>
      </c>
    </row>
    <row r="15" spans="2:40" x14ac:dyDescent="0.35">
      <c r="C15" s="16" t="s">
        <v>17</v>
      </c>
      <c r="O15" s="16"/>
    </row>
    <row r="16" spans="2:40" x14ac:dyDescent="0.35">
      <c r="B16" s="1" t="s">
        <v>10</v>
      </c>
      <c r="C16" s="1" t="s">
        <v>19</v>
      </c>
      <c r="D16" s="1">
        <v>1</v>
      </c>
      <c r="E16" s="1">
        <v>2</v>
      </c>
      <c r="F16" s="1">
        <v>3</v>
      </c>
      <c r="G16" s="1">
        <v>4</v>
      </c>
      <c r="H16" s="1">
        <v>5</v>
      </c>
      <c r="I16" s="1">
        <v>6</v>
      </c>
      <c r="M16" s="16" t="s">
        <v>18</v>
      </c>
      <c r="N16" s="16"/>
    </row>
    <row r="17" spans="2:19" x14ac:dyDescent="0.35">
      <c r="B17" s="1">
        <v>1</v>
      </c>
      <c r="C17" s="1" t="s">
        <v>70</v>
      </c>
      <c r="D17" s="1">
        <v>180</v>
      </c>
      <c r="E17" s="1">
        <v>180</v>
      </c>
      <c r="F17" s="1">
        <v>180</v>
      </c>
      <c r="G17" s="1">
        <v>180</v>
      </c>
      <c r="H17" s="1">
        <v>180</v>
      </c>
      <c r="I17" s="1">
        <v>180</v>
      </c>
      <c r="L17" s="1" t="s">
        <v>10</v>
      </c>
      <c r="M17" s="1" t="s">
        <v>19</v>
      </c>
      <c r="N17" s="1">
        <v>1</v>
      </c>
      <c r="O17" s="1">
        <v>2</v>
      </c>
      <c r="P17" s="1">
        <v>3</v>
      </c>
      <c r="Q17" s="1">
        <v>4</v>
      </c>
      <c r="R17" s="1">
        <v>5</v>
      </c>
      <c r="S17" s="1">
        <v>6</v>
      </c>
    </row>
    <row r="18" spans="2:19" x14ac:dyDescent="0.35">
      <c r="B18" s="1">
        <v>2</v>
      </c>
      <c r="C18" s="1" t="s">
        <v>71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L18" s="1"/>
      <c r="M18" s="1" t="s">
        <v>72</v>
      </c>
      <c r="N18" s="1">
        <v>180</v>
      </c>
      <c r="O18" s="1">
        <v>180</v>
      </c>
      <c r="P18" s="1">
        <v>180</v>
      </c>
      <c r="Q18" s="1">
        <v>180</v>
      </c>
      <c r="R18" s="1">
        <v>180</v>
      </c>
      <c r="S18" s="1">
        <v>180</v>
      </c>
    </row>
    <row r="19" spans="2:19" x14ac:dyDescent="0.35">
      <c r="B19" s="1">
        <v>3</v>
      </c>
      <c r="C19" s="1" t="s">
        <v>30</v>
      </c>
      <c r="D19" s="1">
        <v>200</v>
      </c>
      <c r="E19" s="1">
        <v>200</v>
      </c>
      <c r="F19" s="1">
        <v>200</v>
      </c>
      <c r="G19" s="1">
        <v>200</v>
      </c>
      <c r="H19" s="1">
        <v>200</v>
      </c>
      <c r="I19" s="1">
        <v>200</v>
      </c>
      <c r="L19" s="1"/>
      <c r="M19" s="1" t="s">
        <v>73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</row>
    <row r="20" spans="2:19" x14ac:dyDescent="0.35">
      <c r="B20" s="1">
        <v>4</v>
      </c>
      <c r="C20" s="1" t="s">
        <v>88</v>
      </c>
      <c r="D20" s="1">
        <v>1500</v>
      </c>
      <c r="E20" s="1">
        <v>750</v>
      </c>
      <c r="F20" s="1">
        <v>500</v>
      </c>
      <c r="G20" s="1">
        <v>375</v>
      </c>
      <c r="H20" s="1">
        <v>300</v>
      </c>
      <c r="I20" s="1">
        <v>250</v>
      </c>
      <c r="L20" s="1">
        <v>1</v>
      </c>
      <c r="M20" s="17" t="s">
        <v>31</v>
      </c>
      <c r="N20" s="1">
        <v>400</v>
      </c>
      <c r="O20" s="1">
        <v>400</v>
      </c>
      <c r="P20" s="1">
        <v>400</v>
      </c>
      <c r="Q20" s="1">
        <v>400</v>
      </c>
      <c r="R20" s="1">
        <v>400</v>
      </c>
      <c r="S20" s="1">
        <v>400</v>
      </c>
    </row>
    <row r="21" spans="2:19" x14ac:dyDescent="0.35">
      <c r="B21" s="1">
        <v>5</v>
      </c>
      <c r="C21" s="1" t="s">
        <v>22</v>
      </c>
      <c r="D21" s="1">
        <v>30</v>
      </c>
      <c r="E21" s="1">
        <v>30</v>
      </c>
      <c r="F21" s="1">
        <v>20</v>
      </c>
      <c r="G21" s="1">
        <v>20</v>
      </c>
      <c r="H21" s="1">
        <v>15</v>
      </c>
      <c r="I21" s="1">
        <v>15</v>
      </c>
      <c r="L21" s="1">
        <v>2</v>
      </c>
      <c r="M21" s="17" t="s">
        <v>74</v>
      </c>
      <c r="N21" s="1">
        <v>1500</v>
      </c>
      <c r="O21" s="1">
        <v>750</v>
      </c>
      <c r="P21" s="1">
        <v>500</v>
      </c>
      <c r="Q21" s="1">
        <v>375</v>
      </c>
      <c r="R21" s="1">
        <v>300</v>
      </c>
      <c r="S21" s="1">
        <v>250</v>
      </c>
    </row>
    <row r="22" spans="2:19" x14ac:dyDescent="0.35">
      <c r="B22" s="1">
        <v>6</v>
      </c>
      <c r="C22" s="1" t="s">
        <v>75</v>
      </c>
      <c r="D22" s="1">
        <v>20</v>
      </c>
      <c r="E22" s="1">
        <v>20</v>
      </c>
      <c r="F22" s="1">
        <v>20</v>
      </c>
      <c r="G22" s="1">
        <v>20</v>
      </c>
      <c r="H22" s="1">
        <v>20</v>
      </c>
      <c r="I22" s="1">
        <v>20</v>
      </c>
      <c r="L22" s="1">
        <v>3</v>
      </c>
      <c r="M22" s="17" t="s">
        <v>34</v>
      </c>
      <c r="N22" s="1">
        <v>30</v>
      </c>
      <c r="O22" s="1">
        <v>30</v>
      </c>
      <c r="P22" s="1">
        <v>20</v>
      </c>
      <c r="Q22" s="1">
        <v>20</v>
      </c>
      <c r="R22" s="1">
        <v>15</v>
      </c>
      <c r="S22" s="1">
        <v>15</v>
      </c>
    </row>
    <row r="23" spans="2:19" x14ac:dyDescent="0.35">
      <c r="B23" s="1"/>
      <c r="C23" s="12" t="s">
        <v>14</v>
      </c>
      <c r="D23" s="13">
        <f t="shared" ref="D23:I23" si="2">SUM(D17:D22)</f>
        <v>2020</v>
      </c>
      <c r="E23" s="13">
        <f t="shared" si="2"/>
        <v>1270</v>
      </c>
      <c r="F23" s="13">
        <f t="shared" si="2"/>
        <v>1010</v>
      </c>
      <c r="G23" s="13">
        <f t="shared" si="2"/>
        <v>885</v>
      </c>
      <c r="H23" s="13">
        <f t="shared" si="2"/>
        <v>805</v>
      </c>
      <c r="I23" s="13">
        <f t="shared" si="2"/>
        <v>755</v>
      </c>
      <c r="L23" s="1">
        <v>5</v>
      </c>
      <c r="M23" s="17" t="s">
        <v>76</v>
      </c>
      <c r="N23" s="1">
        <v>20</v>
      </c>
      <c r="O23" s="1">
        <v>20</v>
      </c>
      <c r="P23" s="1">
        <v>20</v>
      </c>
      <c r="Q23" s="1">
        <v>20</v>
      </c>
      <c r="R23" s="1">
        <v>20</v>
      </c>
      <c r="S23" s="1">
        <v>20</v>
      </c>
    </row>
    <row r="24" spans="2:19" x14ac:dyDescent="0.35">
      <c r="L24" s="1"/>
      <c r="M24" s="12" t="s">
        <v>14</v>
      </c>
      <c r="N24" s="13">
        <f t="shared" ref="N24:S24" si="3">SUM(N18:N23)</f>
        <v>2220</v>
      </c>
      <c r="O24" s="13">
        <f t="shared" si="3"/>
        <v>1470</v>
      </c>
      <c r="P24" s="13">
        <f t="shared" si="3"/>
        <v>1210</v>
      </c>
      <c r="Q24" s="13">
        <f t="shared" si="3"/>
        <v>1085</v>
      </c>
      <c r="R24" s="13">
        <f t="shared" si="3"/>
        <v>1005</v>
      </c>
      <c r="S24" s="13">
        <f t="shared" si="3"/>
        <v>955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M26"/>
  <sheetViews>
    <sheetView workbookViewId="0">
      <selection activeCell="AH11" sqref="AH11:AM11"/>
    </sheetView>
  </sheetViews>
  <sheetFormatPr defaultRowHeight="14.5" x14ac:dyDescent="0.35"/>
  <cols>
    <col min="2" max="2" width="16.1796875" customWidth="1"/>
    <col min="3" max="3" width="15.26953125" customWidth="1"/>
  </cols>
  <sheetData>
    <row r="2" spans="2:39" x14ac:dyDescent="0.35">
      <c r="G2" t="s">
        <v>95</v>
      </c>
    </row>
    <row r="3" spans="2:39" x14ac:dyDescent="0.35">
      <c r="B3" s="1"/>
      <c r="C3" s="1"/>
      <c r="D3" s="2" t="s">
        <v>0</v>
      </c>
      <c r="E3" s="3"/>
      <c r="F3" s="3"/>
      <c r="G3" s="3"/>
      <c r="H3" s="3"/>
      <c r="I3" s="3"/>
      <c r="J3" s="4" t="s">
        <v>1</v>
      </c>
      <c r="K3" s="5"/>
      <c r="L3" s="5"/>
      <c r="M3" s="5"/>
      <c r="N3" s="5"/>
      <c r="O3" s="5"/>
      <c r="P3" s="4" t="s">
        <v>67</v>
      </c>
      <c r="Q3" s="5"/>
      <c r="R3" s="5"/>
      <c r="S3" s="5"/>
      <c r="T3" s="5"/>
      <c r="U3" s="5"/>
      <c r="V3" s="6" t="s">
        <v>68</v>
      </c>
      <c r="W3" s="7"/>
      <c r="X3" s="7"/>
      <c r="Y3" s="7"/>
      <c r="Z3" s="7"/>
      <c r="AA3" s="7"/>
      <c r="AB3" s="8" t="s">
        <v>25</v>
      </c>
      <c r="AC3" s="9"/>
      <c r="AD3" s="9"/>
      <c r="AE3" s="9"/>
      <c r="AF3" s="9"/>
      <c r="AG3" s="9"/>
      <c r="AH3" s="10" t="s">
        <v>24</v>
      </c>
      <c r="AI3" s="11"/>
      <c r="AJ3" s="11"/>
      <c r="AK3" s="11"/>
      <c r="AL3" s="11"/>
      <c r="AM3" s="11"/>
    </row>
    <row r="4" spans="2:39" x14ac:dyDescent="0.35">
      <c r="B4" s="1"/>
      <c r="C4" s="1"/>
      <c r="D4" s="3" t="s">
        <v>5</v>
      </c>
      <c r="E4" s="3"/>
      <c r="F4" s="3"/>
      <c r="G4" s="3"/>
      <c r="H4" s="3"/>
      <c r="I4" s="3"/>
      <c r="J4" s="5" t="s">
        <v>6</v>
      </c>
      <c r="K4" s="5"/>
      <c r="L4" s="5"/>
      <c r="M4" s="5"/>
      <c r="N4" s="5"/>
      <c r="O4" s="5"/>
      <c r="P4" s="5" t="s">
        <v>49</v>
      </c>
      <c r="Q4" s="5"/>
      <c r="R4" s="5"/>
      <c r="S4" s="5"/>
      <c r="T4" s="5"/>
      <c r="U4" s="5"/>
      <c r="V4" s="7" t="s">
        <v>7</v>
      </c>
      <c r="W4" s="7"/>
      <c r="X4" s="7"/>
      <c r="Y4" s="7"/>
      <c r="Z4" s="7"/>
      <c r="AA4" s="7"/>
      <c r="AB4" s="9" t="s">
        <v>8</v>
      </c>
      <c r="AC4" s="9"/>
      <c r="AD4" s="9"/>
      <c r="AE4" s="9"/>
      <c r="AF4" s="9"/>
      <c r="AG4" s="9"/>
      <c r="AH4" s="10" t="s">
        <v>9</v>
      </c>
      <c r="AI4" s="11"/>
      <c r="AJ4" s="11"/>
      <c r="AK4" s="11"/>
      <c r="AL4" s="11"/>
      <c r="AM4" s="11"/>
    </row>
    <row r="5" spans="2:39" x14ac:dyDescent="0.35">
      <c r="B5" s="1" t="s">
        <v>11</v>
      </c>
      <c r="C5" s="1" t="s">
        <v>12</v>
      </c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5">
        <v>1</v>
      </c>
      <c r="K5" s="5">
        <v>2</v>
      </c>
      <c r="L5" s="5">
        <v>3</v>
      </c>
      <c r="M5" s="5">
        <v>4</v>
      </c>
      <c r="N5" s="5">
        <v>5</v>
      </c>
      <c r="O5" s="5">
        <v>6</v>
      </c>
      <c r="P5" s="5">
        <v>1</v>
      </c>
      <c r="Q5" s="5">
        <v>2</v>
      </c>
      <c r="R5" s="5">
        <v>3</v>
      </c>
      <c r="S5" s="5">
        <v>4</v>
      </c>
      <c r="T5" s="5">
        <v>5</v>
      </c>
      <c r="U5" s="5">
        <v>6</v>
      </c>
      <c r="V5" s="7">
        <v>1</v>
      </c>
      <c r="W5" s="7">
        <v>2</v>
      </c>
      <c r="X5" s="7">
        <v>3</v>
      </c>
      <c r="Y5" s="7">
        <v>4</v>
      </c>
      <c r="Z5" s="7">
        <v>5</v>
      </c>
      <c r="AA5" s="7">
        <v>6</v>
      </c>
      <c r="AB5" s="9">
        <v>1</v>
      </c>
      <c r="AC5" s="9">
        <v>2</v>
      </c>
      <c r="AD5" s="9">
        <v>3</v>
      </c>
      <c r="AE5" s="9">
        <v>4</v>
      </c>
      <c r="AF5" s="9">
        <v>5</v>
      </c>
      <c r="AG5" s="9">
        <v>6</v>
      </c>
      <c r="AH5" s="11">
        <v>1</v>
      </c>
      <c r="AI5" s="11">
        <v>2</v>
      </c>
      <c r="AJ5" s="11">
        <v>3</v>
      </c>
      <c r="AK5" s="11">
        <v>4</v>
      </c>
      <c r="AL5" s="11">
        <v>5</v>
      </c>
      <c r="AM5" s="11">
        <v>6</v>
      </c>
    </row>
    <row r="6" spans="2:39" x14ac:dyDescent="0.35">
      <c r="B6" s="1" t="s">
        <v>77</v>
      </c>
      <c r="C6" s="1">
        <v>2</v>
      </c>
      <c r="D6" s="3">
        <v>542</v>
      </c>
      <c r="E6" s="3">
        <v>364</v>
      </c>
      <c r="F6" s="3">
        <v>366</v>
      </c>
      <c r="G6" s="3">
        <v>364</v>
      </c>
      <c r="H6" s="3">
        <v>364</v>
      </c>
      <c r="I6" s="3">
        <v>364</v>
      </c>
      <c r="J6" s="3">
        <v>450</v>
      </c>
      <c r="K6" s="3">
        <v>300</v>
      </c>
      <c r="L6" s="3">
        <v>300</v>
      </c>
      <c r="M6" s="3">
        <v>300</v>
      </c>
      <c r="N6" s="3">
        <v>300</v>
      </c>
      <c r="O6" s="3">
        <v>300</v>
      </c>
      <c r="P6" s="3">
        <v>690</v>
      </c>
      <c r="Q6" s="3">
        <v>466</v>
      </c>
      <c r="R6" s="3">
        <v>468</v>
      </c>
      <c r="S6" s="3">
        <v>466</v>
      </c>
      <c r="T6" s="3">
        <v>468</v>
      </c>
      <c r="U6" s="3">
        <v>466</v>
      </c>
      <c r="V6" s="3">
        <v>690</v>
      </c>
      <c r="W6" s="3">
        <v>466</v>
      </c>
      <c r="X6" s="3">
        <v>468</v>
      </c>
      <c r="Y6" s="3">
        <v>466</v>
      </c>
      <c r="Z6" s="3">
        <v>468</v>
      </c>
      <c r="AA6" s="3">
        <v>466</v>
      </c>
      <c r="AB6" s="3">
        <v>542</v>
      </c>
      <c r="AC6" s="3">
        <v>364</v>
      </c>
      <c r="AD6" s="3">
        <v>366</v>
      </c>
      <c r="AE6" s="3">
        <v>364</v>
      </c>
      <c r="AF6" s="3">
        <v>364</v>
      </c>
      <c r="AG6" s="3">
        <v>364</v>
      </c>
      <c r="AH6" s="3">
        <v>690</v>
      </c>
      <c r="AI6" s="3">
        <v>466</v>
      </c>
      <c r="AJ6" s="3">
        <v>468</v>
      </c>
      <c r="AK6" s="3">
        <v>466</v>
      </c>
      <c r="AL6" s="3">
        <v>468</v>
      </c>
      <c r="AM6" s="3">
        <v>466</v>
      </c>
    </row>
    <row r="7" spans="2:39" x14ac:dyDescent="0.35">
      <c r="B7" s="1" t="s">
        <v>96</v>
      </c>
      <c r="C7" s="1">
        <v>1</v>
      </c>
      <c r="D7" s="3">
        <v>337</v>
      </c>
      <c r="E7" s="3">
        <v>236</v>
      </c>
      <c r="F7" s="3">
        <v>211</v>
      </c>
      <c r="G7" s="3">
        <v>236</v>
      </c>
      <c r="H7" s="3">
        <v>221</v>
      </c>
      <c r="I7" s="3">
        <v>236</v>
      </c>
      <c r="J7" s="3">
        <v>337</v>
      </c>
      <c r="K7" s="3">
        <v>236</v>
      </c>
      <c r="L7" s="3">
        <v>211</v>
      </c>
      <c r="M7" s="3">
        <v>236</v>
      </c>
      <c r="N7" s="3">
        <v>221</v>
      </c>
      <c r="O7" s="3">
        <v>236</v>
      </c>
      <c r="P7" s="3">
        <v>337</v>
      </c>
      <c r="Q7" s="3">
        <v>236</v>
      </c>
      <c r="R7" s="3">
        <v>211</v>
      </c>
      <c r="S7" s="3">
        <v>236</v>
      </c>
      <c r="T7" s="3">
        <v>221</v>
      </c>
      <c r="U7" s="3">
        <v>236</v>
      </c>
      <c r="V7" s="3">
        <v>337</v>
      </c>
      <c r="W7" s="3">
        <v>236</v>
      </c>
      <c r="X7" s="3">
        <v>211</v>
      </c>
      <c r="Y7" s="3">
        <v>236</v>
      </c>
      <c r="Z7" s="3">
        <v>221</v>
      </c>
      <c r="AA7" s="3">
        <v>236</v>
      </c>
      <c r="AB7" s="3">
        <v>337</v>
      </c>
      <c r="AC7" s="3">
        <v>236</v>
      </c>
      <c r="AD7" s="3">
        <v>211</v>
      </c>
      <c r="AE7" s="3">
        <v>236</v>
      </c>
      <c r="AF7" s="3">
        <v>221</v>
      </c>
      <c r="AG7" s="3">
        <v>236</v>
      </c>
      <c r="AH7" s="3">
        <v>389</v>
      </c>
      <c r="AI7" s="3">
        <v>288</v>
      </c>
      <c r="AJ7" s="3">
        <v>263</v>
      </c>
      <c r="AK7" s="3">
        <v>288</v>
      </c>
      <c r="AL7" s="3">
        <v>273</v>
      </c>
      <c r="AM7" s="3">
        <v>288</v>
      </c>
    </row>
    <row r="8" spans="2:39" x14ac:dyDescent="0.35">
      <c r="B8" s="1" t="s">
        <v>78</v>
      </c>
      <c r="C8" s="1">
        <v>1</v>
      </c>
      <c r="D8" s="3">
        <v>186</v>
      </c>
      <c r="E8" s="3">
        <v>143</v>
      </c>
      <c r="F8" s="3">
        <v>122</v>
      </c>
      <c r="G8" s="3">
        <v>143</v>
      </c>
      <c r="H8" s="3">
        <v>130</v>
      </c>
      <c r="I8" s="3">
        <v>143</v>
      </c>
      <c r="J8" s="3">
        <v>135</v>
      </c>
      <c r="K8" s="3">
        <v>104</v>
      </c>
      <c r="L8" s="3">
        <v>88</v>
      </c>
      <c r="M8" s="3">
        <v>104</v>
      </c>
      <c r="N8" s="3">
        <v>94</v>
      </c>
      <c r="O8" s="3">
        <v>104</v>
      </c>
      <c r="P8" s="3">
        <v>186</v>
      </c>
      <c r="Q8" s="3">
        <v>143</v>
      </c>
      <c r="R8" s="3">
        <v>122</v>
      </c>
      <c r="S8" s="3">
        <v>143</v>
      </c>
      <c r="T8" s="3">
        <v>130</v>
      </c>
      <c r="U8" s="3">
        <v>143</v>
      </c>
      <c r="V8" s="3">
        <v>284</v>
      </c>
      <c r="W8" s="3">
        <v>219</v>
      </c>
      <c r="X8" s="3">
        <v>186</v>
      </c>
      <c r="Y8" s="3">
        <v>219</v>
      </c>
      <c r="Z8" s="3">
        <v>199</v>
      </c>
      <c r="AA8" s="3">
        <v>219</v>
      </c>
      <c r="AB8" s="3">
        <v>186</v>
      </c>
      <c r="AC8" s="3">
        <v>143</v>
      </c>
      <c r="AD8" s="3">
        <v>122</v>
      </c>
      <c r="AE8" s="3">
        <v>143</v>
      </c>
      <c r="AF8" s="3">
        <v>130</v>
      </c>
      <c r="AG8" s="3">
        <v>143</v>
      </c>
      <c r="AH8" s="3">
        <v>330</v>
      </c>
      <c r="AI8" s="3">
        <v>265</v>
      </c>
      <c r="AJ8" s="3">
        <v>232</v>
      </c>
      <c r="AK8" s="3">
        <v>265</v>
      </c>
      <c r="AL8" s="3">
        <v>245</v>
      </c>
      <c r="AM8" s="3">
        <v>265</v>
      </c>
    </row>
    <row r="9" spans="2:39" x14ac:dyDescent="0.35">
      <c r="B9" s="1" t="s">
        <v>97</v>
      </c>
      <c r="C9" s="1">
        <v>2</v>
      </c>
      <c r="D9" s="3">
        <v>633</v>
      </c>
      <c r="E9" s="3">
        <v>420</v>
      </c>
      <c r="F9" s="3">
        <v>475</v>
      </c>
      <c r="G9" s="3">
        <v>420</v>
      </c>
      <c r="H9" s="3">
        <v>454</v>
      </c>
      <c r="I9" s="3">
        <v>420</v>
      </c>
      <c r="J9" s="3">
        <v>542</v>
      </c>
      <c r="K9" s="3">
        <v>363</v>
      </c>
      <c r="L9" s="3">
        <v>411</v>
      </c>
      <c r="M9" s="3">
        <v>363</v>
      </c>
      <c r="N9" s="3">
        <v>391</v>
      </c>
      <c r="O9" s="3">
        <v>363</v>
      </c>
      <c r="P9" s="3">
        <v>1127</v>
      </c>
      <c r="Q9" s="3">
        <v>748</v>
      </c>
      <c r="R9" s="3">
        <v>844</v>
      </c>
      <c r="S9" s="3">
        <v>748</v>
      </c>
      <c r="T9" s="3">
        <v>805</v>
      </c>
      <c r="U9" s="3">
        <v>748</v>
      </c>
      <c r="V9" s="3">
        <v>1127</v>
      </c>
      <c r="W9" s="3">
        <v>748</v>
      </c>
      <c r="X9" s="3">
        <v>844</v>
      </c>
      <c r="Y9" s="3">
        <v>748</v>
      </c>
      <c r="Z9" s="3">
        <v>805</v>
      </c>
      <c r="AA9" s="3">
        <v>748</v>
      </c>
      <c r="AB9" s="3">
        <v>542</v>
      </c>
      <c r="AC9" s="3">
        <v>363</v>
      </c>
      <c r="AD9" s="3">
        <v>411</v>
      </c>
      <c r="AE9" s="3">
        <v>363</v>
      </c>
      <c r="AF9" s="3">
        <v>391</v>
      </c>
      <c r="AG9" s="3">
        <v>363</v>
      </c>
      <c r="AH9" s="3">
        <v>1127</v>
      </c>
      <c r="AI9" s="3">
        <v>748</v>
      </c>
      <c r="AJ9" s="3">
        <v>844</v>
      </c>
      <c r="AK9" s="3">
        <v>748</v>
      </c>
      <c r="AL9" s="3">
        <v>805</v>
      </c>
      <c r="AM9" s="3">
        <v>748</v>
      </c>
    </row>
    <row r="10" spans="2:39" x14ac:dyDescent="0.35">
      <c r="B10" s="12" t="s">
        <v>14</v>
      </c>
      <c r="C10" s="1"/>
      <c r="D10" s="3">
        <f>SUM(D6:D9)</f>
        <v>1698</v>
      </c>
      <c r="E10" s="3">
        <f>SUM(E6:E9)</f>
        <v>1163</v>
      </c>
      <c r="F10" s="3">
        <f t="shared" ref="F10:AM10" si="0">SUM(F6:F9)</f>
        <v>1174</v>
      </c>
      <c r="G10" s="3">
        <f t="shared" si="0"/>
        <v>1163</v>
      </c>
      <c r="H10" s="3">
        <f t="shared" si="0"/>
        <v>1169</v>
      </c>
      <c r="I10" s="3">
        <f t="shared" si="0"/>
        <v>1163</v>
      </c>
      <c r="J10" s="3">
        <f t="shared" si="0"/>
        <v>1464</v>
      </c>
      <c r="K10" s="3">
        <f t="shared" si="0"/>
        <v>1003</v>
      </c>
      <c r="L10" s="3">
        <f t="shared" si="0"/>
        <v>1010</v>
      </c>
      <c r="M10" s="3">
        <f t="shared" si="0"/>
        <v>1003</v>
      </c>
      <c r="N10" s="3">
        <f t="shared" si="0"/>
        <v>1006</v>
      </c>
      <c r="O10" s="3">
        <f t="shared" si="0"/>
        <v>1003</v>
      </c>
      <c r="P10" s="3">
        <f t="shared" si="0"/>
        <v>2340</v>
      </c>
      <c r="Q10" s="3">
        <f t="shared" si="0"/>
        <v>1593</v>
      </c>
      <c r="R10" s="3">
        <f t="shared" si="0"/>
        <v>1645</v>
      </c>
      <c r="S10" s="3">
        <f t="shared" si="0"/>
        <v>1593</v>
      </c>
      <c r="T10" s="3">
        <f t="shared" si="0"/>
        <v>1624</v>
      </c>
      <c r="U10" s="3">
        <f t="shared" si="0"/>
        <v>1593</v>
      </c>
      <c r="V10" s="3">
        <f t="shared" si="0"/>
        <v>2438</v>
      </c>
      <c r="W10" s="3">
        <f t="shared" si="0"/>
        <v>1669</v>
      </c>
      <c r="X10" s="3">
        <f t="shared" si="0"/>
        <v>1709</v>
      </c>
      <c r="Y10" s="3">
        <f t="shared" si="0"/>
        <v>1669</v>
      </c>
      <c r="Z10" s="3">
        <f t="shared" si="0"/>
        <v>1693</v>
      </c>
      <c r="AA10" s="3">
        <f t="shared" si="0"/>
        <v>1669</v>
      </c>
      <c r="AB10" s="3">
        <f t="shared" si="0"/>
        <v>1607</v>
      </c>
      <c r="AC10" s="3">
        <f t="shared" si="0"/>
        <v>1106</v>
      </c>
      <c r="AD10" s="3">
        <f t="shared" si="0"/>
        <v>1110</v>
      </c>
      <c r="AE10" s="3">
        <f t="shared" si="0"/>
        <v>1106</v>
      </c>
      <c r="AF10" s="3">
        <f t="shared" si="0"/>
        <v>1106</v>
      </c>
      <c r="AG10" s="3">
        <f t="shared" si="0"/>
        <v>1106</v>
      </c>
      <c r="AH10" s="3">
        <f t="shared" si="0"/>
        <v>2536</v>
      </c>
      <c r="AI10" s="3">
        <f t="shared" si="0"/>
        <v>1767</v>
      </c>
      <c r="AJ10" s="3">
        <f t="shared" si="0"/>
        <v>1807</v>
      </c>
      <c r="AK10" s="3">
        <f t="shared" si="0"/>
        <v>1767</v>
      </c>
      <c r="AL10" s="3">
        <f t="shared" si="0"/>
        <v>1791</v>
      </c>
      <c r="AM10" s="3">
        <f t="shared" si="0"/>
        <v>1767</v>
      </c>
    </row>
    <row r="11" spans="2:39" x14ac:dyDescent="0.35">
      <c r="B11" s="12" t="s">
        <v>15</v>
      </c>
      <c r="C11" s="1"/>
      <c r="D11" s="13">
        <v>2333</v>
      </c>
      <c r="E11" s="13">
        <v>1448</v>
      </c>
      <c r="F11" s="13">
        <v>1148</v>
      </c>
      <c r="G11" s="13">
        <v>998</v>
      </c>
      <c r="H11" s="13">
        <v>903</v>
      </c>
      <c r="I11" s="13">
        <v>848</v>
      </c>
      <c r="J11" s="13">
        <v>2333</v>
      </c>
      <c r="K11" s="13">
        <v>1448</v>
      </c>
      <c r="L11" s="13">
        <v>1148</v>
      </c>
      <c r="M11" s="13">
        <v>998</v>
      </c>
      <c r="N11" s="13">
        <v>903</v>
      </c>
      <c r="O11" s="13">
        <v>848</v>
      </c>
      <c r="P11" s="13">
        <v>2333</v>
      </c>
      <c r="Q11" s="13">
        <v>1448</v>
      </c>
      <c r="R11" s="13">
        <v>1148</v>
      </c>
      <c r="S11" s="13">
        <v>998</v>
      </c>
      <c r="T11" s="13">
        <v>903</v>
      </c>
      <c r="U11" s="13">
        <v>848</v>
      </c>
      <c r="V11" s="13">
        <v>2333</v>
      </c>
      <c r="W11" s="13">
        <v>1448</v>
      </c>
      <c r="X11" s="13">
        <v>1148</v>
      </c>
      <c r="Y11" s="13">
        <v>998</v>
      </c>
      <c r="Z11" s="13">
        <v>903</v>
      </c>
      <c r="AA11" s="13">
        <v>848</v>
      </c>
      <c r="AB11" s="13">
        <v>2333</v>
      </c>
      <c r="AC11" s="13">
        <v>1448</v>
      </c>
      <c r="AD11" s="13">
        <v>1148</v>
      </c>
      <c r="AE11" s="13">
        <v>998</v>
      </c>
      <c r="AF11" s="13">
        <v>903</v>
      </c>
      <c r="AG11" s="13">
        <v>848</v>
      </c>
      <c r="AH11" s="13">
        <v>2333</v>
      </c>
      <c r="AI11" s="13">
        <v>1448</v>
      </c>
      <c r="AJ11" s="13">
        <v>1148</v>
      </c>
      <c r="AK11" s="13">
        <v>998</v>
      </c>
      <c r="AL11" s="13">
        <v>903</v>
      </c>
      <c r="AM11" s="13">
        <v>848</v>
      </c>
    </row>
    <row r="12" spans="2:39" x14ac:dyDescent="0.35">
      <c r="B12" s="14" t="s">
        <v>14</v>
      </c>
      <c r="C12" s="1"/>
      <c r="D12" s="13">
        <f t="shared" ref="D12" si="1">SUM(D10:D11)</f>
        <v>4031</v>
      </c>
      <c r="E12" s="13">
        <f>SUM(E10:E11)</f>
        <v>2611</v>
      </c>
      <c r="F12" s="13">
        <f t="shared" ref="F12:AM12" si="2">SUM(F10:F11)</f>
        <v>2322</v>
      </c>
      <c r="G12" s="13">
        <f t="shared" si="2"/>
        <v>2161</v>
      </c>
      <c r="H12" s="13">
        <f t="shared" si="2"/>
        <v>2072</v>
      </c>
      <c r="I12" s="13">
        <f t="shared" si="2"/>
        <v>2011</v>
      </c>
      <c r="J12" s="13">
        <f t="shared" si="2"/>
        <v>3797</v>
      </c>
      <c r="K12" s="13">
        <f t="shared" si="2"/>
        <v>2451</v>
      </c>
      <c r="L12" s="13">
        <f t="shared" si="2"/>
        <v>2158</v>
      </c>
      <c r="M12" s="13">
        <f t="shared" si="2"/>
        <v>2001</v>
      </c>
      <c r="N12" s="13">
        <f t="shared" si="2"/>
        <v>1909</v>
      </c>
      <c r="O12" s="13">
        <f t="shared" si="2"/>
        <v>1851</v>
      </c>
      <c r="P12" s="13">
        <f t="shared" si="2"/>
        <v>4673</v>
      </c>
      <c r="Q12" s="13">
        <f t="shared" si="2"/>
        <v>3041</v>
      </c>
      <c r="R12" s="13">
        <f t="shared" si="2"/>
        <v>2793</v>
      </c>
      <c r="S12" s="13">
        <f t="shared" si="2"/>
        <v>2591</v>
      </c>
      <c r="T12" s="13">
        <f t="shared" si="2"/>
        <v>2527</v>
      </c>
      <c r="U12" s="13">
        <f t="shared" si="2"/>
        <v>2441</v>
      </c>
      <c r="V12" s="13">
        <f t="shared" si="2"/>
        <v>4771</v>
      </c>
      <c r="W12" s="13">
        <f t="shared" si="2"/>
        <v>3117</v>
      </c>
      <c r="X12" s="13">
        <f t="shared" si="2"/>
        <v>2857</v>
      </c>
      <c r="Y12" s="13">
        <f t="shared" si="2"/>
        <v>2667</v>
      </c>
      <c r="Z12" s="13">
        <f t="shared" si="2"/>
        <v>2596</v>
      </c>
      <c r="AA12" s="13">
        <f t="shared" si="2"/>
        <v>2517</v>
      </c>
      <c r="AB12" s="13">
        <f t="shared" si="2"/>
        <v>3940</v>
      </c>
      <c r="AC12" s="13">
        <f t="shared" si="2"/>
        <v>2554</v>
      </c>
      <c r="AD12" s="13">
        <f t="shared" si="2"/>
        <v>2258</v>
      </c>
      <c r="AE12" s="13">
        <f t="shared" si="2"/>
        <v>2104</v>
      </c>
      <c r="AF12" s="13">
        <f t="shared" si="2"/>
        <v>2009</v>
      </c>
      <c r="AG12" s="13">
        <f t="shared" si="2"/>
        <v>1954</v>
      </c>
      <c r="AH12" s="13">
        <f t="shared" si="2"/>
        <v>4869</v>
      </c>
      <c r="AI12" s="13">
        <f t="shared" si="2"/>
        <v>3215</v>
      </c>
      <c r="AJ12" s="13">
        <f t="shared" si="2"/>
        <v>2955</v>
      </c>
      <c r="AK12" s="13">
        <f t="shared" si="2"/>
        <v>2765</v>
      </c>
      <c r="AL12" s="13">
        <f t="shared" si="2"/>
        <v>2694</v>
      </c>
      <c r="AM12" s="13">
        <f t="shared" si="2"/>
        <v>2615</v>
      </c>
    </row>
    <row r="13" spans="2:39" x14ac:dyDescent="0.35">
      <c r="B13" s="15"/>
    </row>
    <row r="14" spans="2:39" x14ac:dyDescent="0.35">
      <c r="D14" s="16" t="s">
        <v>16</v>
      </c>
    </row>
    <row r="15" spans="2:39" x14ac:dyDescent="0.35">
      <c r="B15" s="16" t="s">
        <v>17</v>
      </c>
      <c r="N15" s="16"/>
    </row>
    <row r="16" spans="2:39" x14ac:dyDescent="0.35">
      <c r="B16" s="1" t="s">
        <v>19</v>
      </c>
      <c r="C16" s="1">
        <v>1</v>
      </c>
      <c r="D16" s="1">
        <v>2</v>
      </c>
      <c r="E16" s="1">
        <v>3</v>
      </c>
      <c r="F16" s="1">
        <v>4</v>
      </c>
      <c r="G16" s="1">
        <v>5</v>
      </c>
      <c r="H16" s="1">
        <v>6</v>
      </c>
      <c r="L16" s="16" t="s">
        <v>18</v>
      </c>
      <c r="M16" s="16"/>
    </row>
    <row r="17" spans="2:18" x14ac:dyDescent="0.35">
      <c r="B17" s="1" t="s">
        <v>70</v>
      </c>
      <c r="C17" s="1">
        <v>180</v>
      </c>
      <c r="D17" s="1">
        <v>180</v>
      </c>
      <c r="E17" s="1">
        <v>180</v>
      </c>
      <c r="F17" s="1">
        <v>180</v>
      </c>
      <c r="G17" s="1">
        <v>180</v>
      </c>
      <c r="H17" s="1">
        <v>180</v>
      </c>
      <c r="K17" s="1" t="s">
        <v>10</v>
      </c>
      <c r="L17" s="1" t="s">
        <v>19</v>
      </c>
      <c r="M17" s="1">
        <v>1</v>
      </c>
      <c r="N17" s="1">
        <v>2</v>
      </c>
      <c r="O17" s="1">
        <v>3</v>
      </c>
      <c r="P17" s="1">
        <v>4</v>
      </c>
      <c r="Q17" s="1">
        <v>5</v>
      </c>
      <c r="R17" s="1">
        <v>6</v>
      </c>
    </row>
    <row r="18" spans="2:18" x14ac:dyDescent="0.35">
      <c r="B18" s="1" t="s">
        <v>71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K18" s="1"/>
      <c r="L18" s="1" t="s">
        <v>72</v>
      </c>
      <c r="M18" s="1">
        <v>180</v>
      </c>
      <c r="N18" s="1">
        <v>180</v>
      </c>
      <c r="O18" s="1">
        <v>180</v>
      </c>
      <c r="P18" s="1">
        <v>180</v>
      </c>
      <c r="Q18" s="1">
        <v>180</v>
      </c>
      <c r="R18" s="1">
        <v>180</v>
      </c>
    </row>
    <row r="19" spans="2:18" x14ac:dyDescent="0.35">
      <c r="B19" s="1" t="s">
        <v>30</v>
      </c>
      <c r="C19" s="1">
        <v>200</v>
      </c>
      <c r="D19" s="1">
        <v>200</v>
      </c>
      <c r="E19" s="1">
        <v>200</v>
      </c>
      <c r="F19" s="1">
        <v>200</v>
      </c>
      <c r="G19" s="1">
        <v>200</v>
      </c>
      <c r="H19" s="1">
        <v>200</v>
      </c>
      <c r="K19" s="1"/>
      <c r="L19" s="1" t="s">
        <v>73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</row>
    <row r="20" spans="2:18" x14ac:dyDescent="0.35">
      <c r="B20" s="1" t="s">
        <v>91</v>
      </c>
      <c r="C20" s="1">
        <v>1750</v>
      </c>
      <c r="D20" s="1">
        <v>875</v>
      </c>
      <c r="E20" s="1">
        <v>585</v>
      </c>
      <c r="F20" s="1">
        <v>440</v>
      </c>
      <c r="G20" s="1">
        <v>350</v>
      </c>
      <c r="H20" s="1">
        <v>295</v>
      </c>
      <c r="K20" s="1">
        <v>1</v>
      </c>
      <c r="L20" s="17" t="s">
        <v>31</v>
      </c>
      <c r="M20" s="1">
        <v>400</v>
      </c>
      <c r="N20" s="1">
        <v>400</v>
      </c>
      <c r="O20" s="1">
        <v>400</v>
      </c>
      <c r="P20" s="1">
        <v>400</v>
      </c>
      <c r="Q20" s="1">
        <v>400</v>
      </c>
      <c r="R20" s="1">
        <v>400</v>
      </c>
    </row>
    <row r="21" spans="2:18" x14ac:dyDescent="0.35">
      <c r="B21" s="1" t="s">
        <v>92</v>
      </c>
      <c r="C21" s="1">
        <v>30</v>
      </c>
      <c r="D21" s="1">
        <v>20</v>
      </c>
      <c r="E21" s="1">
        <v>20</v>
      </c>
      <c r="F21" s="1">
        <v>15</v>
      </c>
      <c r="G21" s="1">
        <v>15</v>
      </c>
      <c r="H21" s="1">
        <v>15</v>
      </c>
      <c r="K21" s="1">
        <v>2</v>
      </c>
      <c r="L21" s="17" t="s">
        <v>93</v>
      </c>
      <c r="M21" s="1">
        <v>30</v>
      </c>
      <c r="N21" s="1">
        <v>20</v>
      </c>
      <c r="O21" s="1">
        <v>20</v>
      </c>
      <c r="P21" s="1">
        <v>15</v>
      </c>
      <c r="Q21" s="1">
        <v>15</v>
      </c>
      <c r="R21" s="1">
        <v>15</v>
      </c>
    </row>
    <row r="22" spans="2:18" x14ac:dyDescent="0.35">
      <c r="B22" s="1" t="s">
        <v>57</v>
      </c>
      <c r="C22" s="1">
        <v>33</v>
      </c>
      <c r="D22" s="1">
        <v>33</v>
      </c>
      <c r="E22" s="1">
        <v>33</v>
      </c>
      <c r="F22" s="1">
        <v>33</v>
      </c>
      <c r="G22" s="1">
        <v>33</v>
      </c>
      <c r="H22" s="1">
        <v>33</v>
      </c>
      <c r="K22" s="1">
        <v>3</v>
      </c>
      <c r="L22" s="17" t="s">
        <v>94</v>
      </c>
      <c r="M22" s="1">
        <v>33</v>
      </c>
      <c r="N22" s="1">
        <v>33</v>
      </c>
      <c r="O22" s="1">
        <v>33</v>
      </c>
      <c r="P22" s="1">
        <v>33</v>
      </c>
      <c r="Q22" s="1">
        <v>33</v>
      </c>
      <c r="R22" s="1">
        <v>33</v>
      </c>
    </row>
    <row r="23" spans="2:18" x14ac:dyDescent="0.35">
      <c r="B23" s="1" t="s">
        <v>22</v>
      </c>
      <c r="C23" s="1">
        <v>30</v>
      </c>
      <c r="D23" s="1">
        <v>30</v>
      </c>
      <c r="E23" s="1">
        <v>20</v>
      </c>
      <c r="F23" s="1">
        <v>20</v>
      </c>
      <c r="G23" s="1">
        <v>15</v>
      </c>
      <c r="H23" s="1">
        <v>15</v>
      </c>
      <c r="K23" s="1">
        <v>4</v>
      </c>
      <c r="L23" s="17" t="s">
        <v>98</v>
      </c>
      <c r="M23" s="1">
        <v>1750</v>
      </c>
      <c r="N23" s="1">
        <v>875</v>
      </c>
      <c r="O23" s="1">
        <v>585</v>
      </c>
      <c r="P23" s="1">
        <v>440</v>
      </c>
      <c r="Q23" s="1">
        <v>350</v>
      </c>
      <c r="R23" s="1">
        <v>295</v>
      </c>
    </row>
    <row r="24" spans="2:18" x14ac:dyDescent="0.35">
      <c r="B24" s="1" t="s">
        <v>75</v>
      </c>
      <c r="C24" s="1">
        <v>20</v>
      </c>
      <c r="D24" s="1">
        <v>20</v>
      </c>
      <c r="E24" s="1">
        <v>20</v>
      </c>
      <c r="F24" s="1">
        <v>20</v>
      </c>
      <c r="G24" s="1">
        <v>20</v>
      </c>
      <c r="H24" s="1">
        <v>20</v>
      </c>
      <c r="K24" s="1">
        <v>5</v>
      </c>
      <c r="L24" s="17" t="s">
        <v>34</v>
      </c>
      <c r="M24" s="1">
        <v>30</v>
      </c>
      <c r="N24" s="1">
        <v>30</v>
      </c>
      <c r="O24" s="1">
        <v>20</v>
      </c>
      <c r="P24" s="1">
        <v>20</v>
      </c>
      <c r="Q24" s="1">
        <v>15</v>
      </c>
      <c r="R24" s="1">
        <v>15</v>
      </c>
    </row>
    <row r="25" spans="2:18" x14ac:dyDescent="0.35">
      <c r="B25" s="12" t="s">
        <v>14</v>
      </c>
      <c r="C25" s="13">
        <f t="shared" ref="C25:H25" si="3">SUM(C17:C24)</f>
        <v>2333</v>
      </c>
      <c r="D25" s="13">
        <f t="shared" si="3"/>
        <v>1448</v>
      </c>
      <c r="E25" s="13">
        <f t="shared" si="3"/>
        <v>1148</v>
      </c>
      <c r="F25" s="13">
        <f t="shared" si="3"/>
        <v>998</v>
      </c>
      <c r="G25" s="13">
        <f t="shared" si="3"/>
        <v>903</v>
      </c>
      <c r="H25" s="13">
        <f t="shared" si="3"/>
        <v>848</v>
      </c>
      <c r="K25" s="1">
        <v>6</v>
      </c>
      <c r="L25" s="17" t="s">
        <v>76</v>
      </c>
      <c r="M25" s="1">
        <v>20</v>
      </c>
      <c r="N25" s="1">
        <v>20</v>
      </c>
      <c r="O25" s="1">
        <v>20</v>
      </c>
      <c r="P25" s="1">
        <v>20</v>
      </c>
      <c r="Q25" s="1">
        <v>20</v>
      </c>
      <c r="R25" s="1">
        <v>20</v>
      </c>
    </row>
    <row r="26" spans="2:18" x14ac:dyDescent="0.35">
      <c r="K26" s="1"/>
      <c r="L26" s="12" t="s">
        <v>14</v>
      </c>
      <c r="M26" s="13">
        <v>2333</v>
      </c>
      <c r="N26" s="13">
        <v>1448</v>
      </c>
      <c r="O26" s="13">
        <v>1148</v>
      </c>
      <c r="P26" s="13">
        <v>998</v>
      </c>
      <c r="Q26" s="13">
        <v>903</v>
      </c>
      <c r="R26" s="13">
        <v>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K27"/>
  <sheetViews>
    <sheetView workbookViewId="0">
      <selection activeCell="E31" sqref="E31"/>
    </sheetView>
  </sheetViews>
  <sheetFormatPr defaultRowHeight="14.5" x14ac:dyDescent="0.35"/>
  <cols>
    <col min="3" max="3" width="25.453125" customWidth="1"/>
  </cols>
  <sheetData>
    <row r="2" spans="2:37" x14ac:dyDescent="0.35">
      <c r="B2" s="16"/>
      <c r="C2" s="16"/>
      <c r="D2" s="16" t="s">
        <v>99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</row>
    <row r="4" spans="2:37" x14ac:dyDescent="0.35">
      <c r="B4" s="1"/>
      <c r="C4" s="1"/>
      <c r="D4" s="1"/>
      <c r="E4" s="2" t="s">
        <v>0</v>
      </c>
      <c r="F4" s="3"/>
      <c r="G4" s="3"/>
      <c r="H4" s="3"/>
      <c r="I4" s="3"/>
      <c r="J4" s="3"/>
      <c r="K4" s="4" t="s">
        <v>1</v>
      </c>
      <c r="L4" s="5"/>
      <c r="M4" s="5"/>
      <c r="N4" s="5"/>
      <c r="O4" s="5"/>
      <c r="P4" s="5"/>
      <c r="Q4" s="6" t="s">
        <v>2</v>
      </c>
      <c r="R4" s="7"/>
      <c r="S4" s="7"/>
      <c r="T4" s="7"/>
      <c r="U4" s="7"/>
      <c r="V4" s="7"/>
      <c r="W4" s="8" t="s">
        <v>3</v>
      </c>
      <c r="X4" s="9"/>
      <c r="Y4" s="9"/>
      <c r="Z4" s="9"/>
      <c r="AA4" s="9"/>
      <c r="AB4" s="9"/>
      <c r="AC4" s="10" t="s">
        <v>4</v>
      </c>
      <c r="AD4" s="11"/>
      <c r="AE4" s="11"/>
      <c r="AF4" s="11"/>
      <c r="AG4" s="11"/>
      <c r="AH4" s="11"/>
    </row>
    <row r="5" spans="2:37" x14ac:dyDescent="0.35">
      <c r="B5" s="1"/>
      <c r="C5" s="1"/>
      <c r="D5" s="1"/>
      <c r="E5" s="3" t="s">
        <v>5</v>
      </c>
      <c r="F5" s="3"/>
      <c r="G5" s="3"/>
      <c r="H5" s="3"/>
      <c r="I5" s="3"/>
      <c r="J5" s="3"/>
      <c r="K5" s="5" t="s">
        <v>6</v>
      </c>
      <c r="L5" s="5"/>
      <c r="M5" s="5"/>
      <c r="N5" s="5"/>
      <c r="O5" s="5"/>
      <c r="P5" s="5"/>
      <c r="Q5" s="7" t="s">
        <v>7</v>
      </c>
      <c r="R5" s="7"/>
      <c r="S5" s="7"/>
      <c r="T5" s="7"/>
      <c r="U5" s="7"/>
      <c r="V5" s="7"/>
      <c r="W5" s="9" t="s">
        <v>8</v>
      </c>
      <c r="X5" s="9"/>
      <c r="Y5" s="9"/>
      <c r="Z5" s="9"/>
      <c r="AA5" s="9"/>
      <c r="AB5" s="9"/>
      <c r="AC5" s="10" t="s">
        <v>9</v>
      </c>
      <c r="AD5" s="11"/>
      <c r="AE5" s="11"/>
      <c r="AF5" s="11"/>
      <c r="AG5" s="11"/>
      <c r="AH5" s="11"/>
    </row>
    <row r="6" spans="2:37" x14ac:dyDescent="0.35">
      <c r="B6" s="1" t="s">
        <v>10</v>
      </c>
      <c r="C6" s="1" t="s">
        <v>11</v>
      </c>
      <c r="D6" s="1" t="s">
        <v>12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5">
        <v>1</v>
      </c>
      <c r="L6" s="5">
        <v>2</v>
      </c>
      <c r="M6" s="5">
        <v>3</v>
      </c>
      <c r="N6" s="5">
        <v>4</v>
      </c>
      <c r="O6" s="5">
        <v>5</v>
      </c>
      <c r="P6" s="5">
        <v>6</v>
      </c>
      <c r="Q6" s="7">
        <v>1</v>
      </c>
      <c r="R6" s="7">
        <v>2</v>
      </c>
      <c r="S6" s="7">
        <v>3</v>
      </c>
      <c r="T6" s="7">
        <v>4</v>
      </c>
      <c r="U6" s="7">
        <v>5</v>
      </c>
      <c r="V6" s="7">
        <v>6</v>
      </c>
      <c r="W6" s="9">
        <v>1</v>
      </c>
      <c r="X6" s="9">
        <v>2</v>
      </c>
      <c r="Y6" s="9">
        <v>3</v>
      </c>
      <c r="Z6" s="9">
        <v>4</v>
      </c>
      <c r="AA6" s="9">
        <v>5</v>
      </c>
      <c r="AB6" s="9">
        <v>6</v>
      </c>
      <c r="AC6" s="11">
        <v>1</v>
      </c>
      <c r="AD6" s="11">
        <v>2</v>
      </c>
      <c r="AE6" s="11">
        <v>3</v>
      </c>
      <c r="AF6" s="11">
        <v>4</v>
      </c>
      <c r="AG6" s="11">
        <v>5</v>
      </c>
      <c r="AH6" s="11">
        <v>6</v>
      </c>
    </row>
    <row r="7" spans="2:37" x14ac:dyDescent="0.35">
      <c r="B7" s="1">
        <v>1</v>
      </c>
      <c r="C7" s="1" t="s">
        <v>13</v>
      </c>
      <c r="D7" s="1">
        <v>1</v>
      </c>
      <c r="E7" s="3">
        <v>271</v>
      </c>
      <c r="F7" s="3">
        <v>182</v>
      </c>
      <c r="G7" s="3">
        <v>183</v>
      </c>
      <c r="H7" s="3">
        <v>182</v>
      </c>
      <c r="I7" s="3">
        <v>182</v>
      </c>
      <c r="J7" s="3">
        <v>182</v>
      </c>
      <c r="K7" s="3">
        <v>225</v>
      </c>
      <c r="L7" s="3">
        <v>150</v>
      </c>
      <c r="M7" s="3">
        <v>150</v>
      </c>
      <c r="N7" s="3">
        <v>150</v>
      </c>
      <c r="O7" s="3">
        <v>150</v>
      </c>
      <c r="P7" s="3">
        <v>150</v>
      </c>
      <c r="Q7" s="3">
        <v>345</v>
      </c>
      <c r="R7" s="3">
        <v>233</v>
      </c>
      <c r="S7" s="3">
        <v>234</v>
      </c>
      <c r="T7" s="3">
        <v>233</v>
      </c>
      <c r="U7" s="3">
        <v>234</v>
      </c>
      <c r="V7" s="3">
        <v>233</v>
      </c>
      <c r="W7" s="3">
        <v>271</v>
      </c>
      <c r="X7" s="3">
        <v>182</v>
      </c>
      <c r="Y7" s="3">
        <v>183</v>
      </c>
      <c r="Z7" s="3">
        <v>182</v>
      </c>
      <c r="AA7" s="3">
        <v>182</v>
      </c>
      <c r="AB7" s="20">
        <v>182</v>
      </c>
      <c r="AC7">
        <v>345</v>
      </c>
      <c r="AD7">
        <v>233</v>
      </c>
      <c r="AE7">
        <v>234</v>
      </c>
      <c r="AF7">
        <v>233</v>
      </c>
      <c r="AG7">
        <v>234</v>
      </c>
      <c r="AH7">
        <v>233</v>
      </c>
    </row>
    <row r="8" spans="2:37" x14ac:dyDescent="0.35">
      <c r="B8" s="1">
        <v>2</v>
      </c>
      <c r="C8" s="1" t="s">
        <v>112</v>
      </c>
      <c r="D8" s="1">
        <v>1</v>
      </c>
      <c r="E8" s="3">
        <v>262</v>
      </c>
      <c r="F8" s="3">
        <v>175</v>
      </c>
      <c r="G8" s="3">
        <v>175</v>
      </c>
      <c r="H8" s="3">
        <v>175</v>
      </c>
      <c r="I8" s="3">
        <v>175</v>
      </c>
      <c r="J8" s="3">
        <v>175</v>
      </c>
      <c r="K8" s="5">
        <v>223</v>
      </c>
      <c r="L8" s="5">
        <v>148</v>
      </c>
      <c r="M8" s="5">
        <v>148</v>
      </c>
      <c r="N8" s="5">
        <v>148</v>
      </c>
      <c r="O8" s="5">
        <v>148</v>
      </c>
      <c r="P8" s="5">
        <v>148</v>
      </c>
      <c r="Q8" s="3">
        <v>262</v>
      </c>
      <c r="R8" s="3">
        <v>175</v>
      </c>
      <c r="S8" s="3">
        <v>175</v>
      </c>
      <c r="T8" s="3">
        <v>175</v>
      </c>
      <c r="U8" s="3">
        <v>175</v>
      </c>
      <c r="V8" s="3">
        <v>175</v>
      </c>
      <c r="W8" s="3">
        <v>262</v>
      </c>
      <c r="X8" s="3">
        <v>175</v>
      </c>
      <c r="Y8" s="3">
        <v>175</v>
      </c>
      <c r="Z8" s="3">
        <v>175</v>
      </c>
      <c r="AA8" s="3">
        <v>175</v>
      </c>
      <c r="AB8" s="3">
        <v>175</v>
      </c>
      <c r="AC8" s="3">
        <v>322</v>
      </c>
      <c r="AD8" s="3">
        <v>215</v>
      </c>
      <c r="AE8" s="3">
        <v>215</v>
      </c>
      <c r="AF8" s="3">
        <v>215</v>
      </c>
      <c r="AG8" s="3">
        <v>215</v>
      </c>
      <c r="AH8" s="3">
        <v>215</v>
      </c>
    </row>
    <row r="9" spans="2:37" x14ac:dyDescent="0.35">
      <c r="B9" s="1">
        <v>3</v>
      </c>
      <c r="C9" s="1" t="s">
        <v>150</v>
      </c>
      <c r="D9" s="1">
        <v>1</v>
      </c>
      <c r="E9" s="3">
        <v>213</v>
      </c>
      <c r="F9" s="3">
        <v>142</v>
      </c>
      <c r="G9" s="3">
        <v>138</v>
      </c>
      <c r="H9" s="3">
        <v>142</v>
      </c>
      <c r="I9" s="3">
        <v>140</v>
      </c>
      <c r="J9" s="3">
        <v>142</v>
      </c>
      <c r="K9" s="3">
        <v>112</v>
      </c>
      <c r="L9" s="3">
        <v>112</v>
      </c>
      <c r="M9" s="3">
        <v>112</v>
      </c>
      <c r="N9" s="3">
        <v>112</v>
      </c>
      <c r="O9" s="3">
        <v>112</v>
      </c>
      <c r="P9" s="3">
        <v>112</v>
      </c>
      <c r="Q9" s="3">
        <v>213</v>
      </c>
      <c r="R9" s="3">
        <v>142</v>
      </c>
      <c r="S9" s="3">
        <v>138</v>
      </c>
      <c r="T9" s="3">
        <v>142</v>
      </c>
      <c r="U9" s="3">
        <v>140</v>
      </c>
      <c r="V9" s="3">
        <v>142</v>
      </c>
      <c r="W9" s="3">
        <v>213</v>
      </c>
      <c r="X9" s="3">
        <v>142</v>
      </c>
      <c r="Y9" s="3">
        <v>138</v>
      </c>
      <c r="Z9" s="3">
        <v>142</v>
      </c>
      <c r="AA9" s="3">
        <v>140</v>
      </c>
      <c r="AB9" s="3">
        <v>142</v>
      </c>
      <c r="AC9" s="3">
        <v>233</v>
      </c>
      <c r="AD9" s="3">
        <v>162</v>
      </c>
      <c r="AE9" s="3">
        <v>158</v>
      </c>
      <c r="AF9" s="3">
        <v>162</v>
      </c>
      <c r="AG9" s="3">
        <v>160</v>
      </c>
      <c r="AH9" s="3">
        <v>162</v>
      </c>
    </row>
    <row r="10" spans="2:37" x14ac:dyDescent="0.35">
      <c r="B10" s="1">
        <v>4</v>
      </c>
      <c r="C10" s="1" t="s">
        <v>111</v>
      </c>
      <c r="D10" s="1">
        <v>2</v>
      </c>
      <c r="E10" s="31">
        <v>713</v>
      </c>
      <c r="F10" s="31">
        <v>460</v>
      </c>
      <c r="G10" s="31">
        <v>407</v>
      </c>
      <c r="H10" s="31">
        <v>460</v>
      </c>
      <c r="I10" s="31">
        <v>428</v>
      </c>
      <c r="J10" s="31">
        <v>460</v>
      </c>
      <c r="K10" s="31">
        <v>702</v>
      </c>
      <c r="L10" s="31">
        <v>460</v>
      </c>
      <c r="M10" s="31">
        <v>407</v>
      </c>
      <c r="N10" s="31">
        <v>460</v>
      </c>
      <c r="O10" s="31">
        <v>428</v>
      </c>
      <c r="P10" s="31">
        <v>460</v>
      </c>
      <c r="Q10" s="31">
        <v>817</v>
      </c>
      <c r="R10" s="31">
        <v>534</v>
      </c>
      <c r="S10" s="31">
        <v>473</v>
      </c>
      <c r="T10" s="31">
        <v>534</v>
      </c>
      <c r="U10" s="31">
        <v>497</v>
      </c>
      <c r="V10" s="31">
        <v>534</v>
      </c>
      <c r="W10" s="31">
        <v>863</v>
      </c>
      <c r="X10" s="31">
        <v>575</v>
      </c>
      <c r="Y10" s="31">
        <v>510</v>
      </c>
      <c r="Z10" s="31">
        <v>575</v>
      </c>
      <c r="AA10" s="31">
        <v>536</v>
      </c>
      <c r="AB10" s="31">
        <v>575</v>
      </c>
      <c r="AC10" s="31">
        <v>1392</v>
      </c>
      <c r="AD10" s="31">
        <v>920</v>
      </c>
      <c r="AE10" s="31">
        <v>821</v>
      </c>
      <c r="AF10" s="31">
        <v>920</v>
      </c>
      <c r="AG10" s="31">
        <v>860</v>
      </c>
      <c r="AH10" s="31">
        <v>920</v>
      </c>
    </row>
    <row r="11" spans="2:37" x14ac:dyDescent="0.35">
      <c r="B11" s="1"/>
      <c r="C11" s="12" t="s">
        <v>103</v>
      </c>
      <c r="D11" s="1"/>
      <c r="E11" s="3">
        <f t="shared" ref="E11:AH11" si="0">SUM(E7:E10)</f>
        <v>1459</v>
      </c>
      <c r="F11" s="3">
        <f t="shared" si="0"/>
        <v>959</v>
      </c>
      <c r="G11" s="3">
        <f t="shared" si="0"/>
        <v>903</v>
      </c>
      <c r="H11" s="3">
        <f t="shared" si="0"/>
        <v>959</v>
      </c>
      <c r="I11" s="3">
        <f t="shared" si="0"/>
        <v>925</v>
      </c>
      <c r="J11" s="3">
        <f t="shared" si="0"/>
        <v>959</v>
      </c>
      <c r="K11" s="3">
        <f t="shared" si="0"/>
        <v>1262</v>
      </c>
      <c r="L11" s="3">
        <f t="shared" si="0"/>
        <v>870</v>
      </c>
      <c r="M11" s="3">
        <f t="shared" si="0"/>
        <v>817</v>
      </c>
      <c r="N11" s="3">
        <f t="shared" si="0"/>
        <v>870</v>
      </c>
      <c r="O11" s="3">
        <f t="shared" si="0"/>
        <v>838</v>
      </c>
      <c r="P11" s="3">
        <f t="shared" si="0"/>
        <v>870</v>
      </c>
      <c r="Q11" s="3">
        <f t="shared" si="0"/>
        <v>1637</v>
      </c>
      <c r="R11" s="3">
        <f t="shared" si="0"/>
        <v>1084</v>
      </c>
      <c r="S11" s="3">
        <f>S7+S8+S10+S9</f>
        <v>1020</v>
      </c>
      <c r="T11" s="3">
        <f t="shared" si="0"/>
        <v>1084</v>
      </c>
      <c r="U11" s="3">
        <f t="shared" si="0"/>
        <v>1046</v>
      </c>
      <c r="V11" s="3">
        <f t="shared" si="0"/>
        <v>1084</v>
      </c>
      <c r="W11" s="3">
        <f>SUM(W7:W10)</f>
        <v>1609</v>
      </c>
      <c r="X11" s="3">
        <f>SUM(X7:X10)</f>
        <v>1074</v>
      </c>
      <c r="Y11" s="3">
        <f>SUM(Y7:Y10)</f>
        <v>1006</v>
      </c>
      <c r="Z11" s="3">
        <f>SUM(Z7:Z10)</f>
        <v>1074</v>
      </c>
      <c r="AA11" s="3">
        <f>SUM(AA7:AA10)</f>
        <v>1033</v>
      </c>
      <c r="AB11" s="3">
        <f>SUM(AB7:AB10)</f>
        <v>1074</v>
      </c>
      <c r="AC11" s="3">
        <f>SUM(AC7:AC10)</f>
        <v>2292</v>
      </c>
      <c r="AD11" s="3">
        <f>SUM(AD7:AD10)</f>
        <v>1530</v>
      </c>
      <c r="AE11" s="3">
        <f>SUM(AE7:AE10)</f>
        <v>1428</v>
      </c>
      <c r="AF11" s="3">
        <f>SUM(AF7:AF10)</f>
        <v>1530</v>
      </c>
      <c r="AG11" s="3">
        <f>SUM(AG7:AG10)</f>
        <v>1469</v>
      </c>
      <c r="AH11" s="3">
        <f>SUM(AH7:AH10)</f>
        <v>1530</v>
      </c>
    </row>
    <row r="12" spans="2:37" x14ac:dyDescent="0.35">
      <c r="B12" s="1"/>
      <c r="C12" s="12" t="s">
        <v>15</v>
      </c>
      <c r="D12" s="1"/>
      <c r="E12" s="13">
        <v>1530</v>
      </c>
      <c r="F12" s="13">
        <v>970</v>
      </c>
      <c r="G12" s="13">
        <v>785</v>
      </c>
      <c r="H12" s="13">
        <v>685</v>
      </c>
      <c r="I12" s="13">
        <v>630</v>
      </c>
      <c r="J12" s="13">
        <v>600</v>
      </c>
      <c r="K12" s="13">
        <v>1530</v>
      </c>
      <c r="L12" s="13">
        <v>970</v>
      </c>
      <c r="M12" s="13">
        <v>785</v>
      </c>
      <c r="N12" s="13">
        <v>685</v>
      </c>
      <c r="O12" s="13">
        <v>630</v>
      </c>
      <c r="P12" s="13">
        <v>600</v>
      </c>
      <c r="Q12" s="13">
        <v>1530</v>
      </c>
      <c r="R12" s="13">
        <v>970</v>
      </c>
      <c r="S12" s="13">
        <v>785</v>
      </c>
      <c r="T12" s="13">
        <v>685</v>
      </c>
      <c r="U12" s="13">
        <v>630</v>
      </c>
      <c r="V12" s="13">
        <v>600</v>
      </c>
      <c r="W12" s="13">
        <v>1530</v>
      </c>
      <c r="X12" s="13">
        <v>970</v>
      </c>
      <c r="Y12" s="13">
        <v>785</v>
      </c>
      <c r="Z12" s="13">
        <v>685</v>
      </c>
      <c r="AA12" s="13">
        <v>630</v>
      </c>
      <c r="AB12" s="13">
        <v>600</v>
      </c>
      <c r="AC12" s="13">
        <v>1530</v>
      </c>
      <c r="AD12" s="13">
        <v>970</v>
      </c>
      <c r="AE12" s="13">
        <v>785</v>
      </c>
      <c r="AF12" s="13">
        <v>685</v>
      </c>
      <c r="AG12" s="13">
        <v>630</v>
      </c>
      <c r="AH12" s="13">
        <v>600</v>
      </c>
    </row>
    <row r="13" spans="2:37" x14ac:dyDescent="0.35">
      <c r="B13" s="1"/>
      <c r="C13" s="14" t="s">
        <v>14</v>
      </c>
      <c r="D13" s="1"/>
      <c r="E13" s="13">
        <f t="shared" ref="E13:AH13" si="1">SUM(E11:E12)</f>
        <v>2989</v>
      </c>
      <c r="F13" s="13">
        <f t="shared" si="1"/>
        <v>1929</v>
      </c>
      <c r="G13" s="13">
        <f t="shared" si="1"/>
        <v>1688</v>
      </c>
      <c r="H13" s="13">
        <f t="shared" si="1"/>
        <v>1644</v>
      </c>
      <c r="I13" s="13">
        <f t="shared" si="1"/>
        <v>1555</v>
      </c>
      <c r="J13" s="13">
        <f t="shared" si="1"/>
        <v>1559</v>
      </c>
      <c r="K13" s="13">
        <f t="shared" si="1"/>
        <v>2792</v>
      </c>
      <c r="L13" s="13">
        <f t="shared" si="1"/>
        <v>1840</v>
      </c>
      <c r="M13" s="13">
        <f t="shared" si="1"/>
        <v>1602</v>
      </c>
      <c r="N13" s="13">
        <f t="shared" si="1"/>
        <v>1555</v>
      </c>
      <c r="O13" s="13">
        <f t="shared" si="1"/>
        <v>1468</v>
      </c>
      <c r="P13" s="13">
        <f t="shared" si="1"/>
        <v>1470</v>
      </c>
      <c r="Q13" s="13">
        <f t="shared" si="1"/>
        <v>3167</v>
      </c>
      <c r="R13" s="13">
        <f t="shared" si="1"/>
        <v>2054</v>
      </c>
      <c r="S13" s="13">
        <f t="shared" si="1"/>
        <v>1805</v>
      </c>
      <c r="T13" s="13">
        <f t="shared" si="1"/>
        <v>1769</v>
      </c>
      <c r="U13" s="13">
        <f t="shared" si="1"/>
        <v>1676</v>
      </c>
      <c r="V13" s="13">
        <f t="shared" si="1"/>
        <v>1684</v>
      </c>
      <c r="W13" s="13">
        <f t="shared" si="1"/>
        <v>3139</v>
      </c>
      <c r="X13" s="13">
        <f t="shared" si="1"/>
        <v>2044</v>
      </c>
      <c r="Y13" s="13">
        <f t="shared" si="1"/>
        <v>1791</v>
      </c>
      <c r="Z13" s="13">
        <f t="shared" si="1"/>
        <v>1759</v>
      </c>
      <c r="AA13" s="13">
        <f t="shared" si="1"/>
        <v>1663</v>
      </c>
      <c r="AB13" s="13">
        <f t="shared" si="1"/>
        <v>1674</v>
      </c>
      <c r="AC13" s="13">
        <f t="shared" si="1"/>
        <v>3822</v>
      </c>
      <c r="AD13" s="13">
        <f t="shared" si="1"/>
        <v>2500</v>
      </c>
      <c r="AE13" s="13">
        <f t="shared" si="1"/>
        <v>2213</v>
      </c>
      <c r="AF13" s="13">
        <f t="shared" si="1"/>
        <v>2215</v>
      </c>
      <c r="AG13" s="13">
        <f t="shared" si="1"/>
        <v>2099</v>
      </c>
      <c r="AH13" s="3">
        <f t="shared" si="1"/>
        <v>2130</v>
      </c>
    </row>
    <row r="14" spans="2:37" x14ac:dyDescent="0.35">
      <c r="C14" s="15"/>
    </row>
    <row r="15" spans="2:37" x14ac:dyDescent="0.35">
      <c r="E15" s="16" t="s">
        <v>16</v>
      </c>
    </row>
    <row r="16" spans="2:37" x14ac:dyDescent="0.35">
      <c r="C16" s="16" t="s">
        <v>17</v>
      </c>
      <c r="P16" s="16" t="s">
        <v>18</v>
      </c>
      <c r="Q16" s="16"/>
      <c r="W16" s="16"/>
    </row>
    <row r="17" spans="2:30" x14ac:dyDescent="0.35">
      <c r="B17" s="1" t="s">
        <v>10</v>
      </c>
      <c r="C17" s="1" t="s">
        <v>19</v>
      </c>
      <c r="D17" s="1">
        <v>1</v>
      </c>
      <c r="E17" s="1">
        <v>2</v>
      </c>
      <c r="F17" s="1">
        <v>3</v>
      </c>
      <c r="G17" s="1">
        <v>4</v>
      </c>
      <c r="H17" s="1">
        <v>5</v>
      </c>
      <c r="I17" s="1">
        <v>6</v>
      </c>
      <c r="O17" s="1" t="s">
        <v>10</v>
      </c>
      <c r="P17" s="1" t="s">
        <v>19</v>
      </c>
      <c r="Q17" s="1"/>
      <c r="R17" s="1"/>
      <c r="S17" s="1"/>
      <c r="T17" s="1"/>
      <c r="U17" s="1"/>
      <c r="V17" s="1"/>
    </row>
    <row r="18" spans="2:30" x14ac:dyDescent="0.35">
      <c r="B18" s="1">
        <v>1</v>
      </c>
      <c r="C18" s="1" t="s">
        <v>20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O18" s="1">
        <v>1</v>
      </c>
      <c r="P18" s="17"/>
      <c r="Q18" s="1"/>
      <c r="R18" s="1"/>
      <c r="S18" s="1"/>
      <c r="T18" s="1"/>
      <c r="U18" s="1"/>
      <c r="V18" s="1"/>
      <c r="AD18" t="s">
        <v>105</v>
      </c>
    </row>
    <row r="19" spans="2:30" x14ac:dyDescent="0.35">
      <c r="B19" s="1">
        <v>2</v>
      </c>
      <c r="C19" s="1" t="s">
        <v>55</v>
      </c>
      <c r="D19" s="1">
        <v>1000</v>
      </c>
      <c r="E19" s="1">
        <v>500</v>
      </c>
      <c r="F19" s="1">
        <v>335</v>
      </c>
      <c r="G19" s="1">
        <v>250</v>
      </c>
      <c r="H19" s="1">
        <v>200</v>
      </c>
      <c r="I19" s="1">
        <v>170</v>
      </c>
      <c r="O19" s="1">
        <v>2</v>
      </c>
      <c r="P19" s="17"/>
      <c r="Q19" s="1"/>
      <c r="R19" s="1"/>
      <c r="S19" s="1"/>
      <c r="T19" s="1"/>
      <c r="U19" s="1"/>
      <c r="V19" s="1"/>
    </row>
    <row r="20" spans="2:30" x14ac:dyDescent="0.35">
      <c r="B20" s="1">
        <v>3</v>
      </c>
      <c r="C20" s="1" t="s">
        <v>113</v>
      </c>
      <c r="D20" s="1">
        <v>80</v>
      </c>
      <c r="E20" s="1">
        <v>80</v>
      </c>
      <c r="F20" s="1">
        <v>80</v>
      </c>
      <c r="G20" s="1">
        <v>80</v>
      </c>
      <c r="H20" s="1">
        <v>80</v>
      </c>
      <c r="I20" s="1">
        <v>80</v>
      </c>
      <c r="O20" s="1"/>
      <c r="P20" s="17"/>
      <c r="Q20" s="1"/>
      <c r="R20" s="1"/>
      <c r="S20" s="1"/>
      <c r="T20" s="1"/>
      <c r="U20" s="1"/>
      <c r="V20" s="1"/>
    </row>
    <row r="21" spans="2:30" x14ac:dyDescent="0.35">
      <c r="B21" s="1">
        <v>4</v>
      </c>
      <c r="C21" s="1" t="s">
        <v>106</v>
      </c>
      <c r="D21" s="1">
        <v>80</v>
      </c>
      <c r="E21" s="1">
        <v>80</v>
      </c>
      <c r="F21" s="1">
        <v>80</v>
      </c>
      <c r="G21" s="1">
        <v>80</v>
      </c>
      <c r="H21" s="1">
        <v>80</v>
      </c>
      <c r="I21" s="1">
        <v>80</v>
      </c>
      <c r="O21" s="1"/>
      <c r="P21" s="17"/>
      <c r="Q21" s="1"/>
      <c r="R21" s="1"/>
      <c r="S21" s="1"/>
      <c r="T21" s="1"/>
      <c r="U21" s="1"/>
      <c r="V21" s="1"/>
    </row>
    <row r="22" spans="2:30" x14ac:dyDescent="0.35">
      <c r="B22" s="1">
        <v>5</v>
      </c>
      <c r="C22" s="1" t="s">
        <v>114</v>
      </c>
      <c r="D22" s="1">
        <v>80</v>
      </c>
      <c r="E22" s="1">
        <v>40</v>
      </c>
      <c r="F22" s="1">
        <v>30</v>
      </c>
      <c r="G22" s="1">
        <v>20</v>
      </c>
      <c r="H22" s="1">
        <v>15</v>
      </c>
      <c r="I22" s="1">
        <v>15</v>
      </c>
      <c r="O22" s="1"/>
      <c r="P22" s="17"/>
      <c r="Q22" s="1"/>
      <c r="R22" s="1"/>
      <c r="S22" s="1"/>
      <c r="T22" s="1"/>
      <c r="U22" s="1"/>
      <c r="V22" s="1"/>
    </row>
    <row r="23" spans="2:30" x14ac:dyDescent="0.35">
      <c r="B23" s="1">
        <v>6</v>
      </c>
      <c r="C23" s="1" t="s">
        <v>107</v>
      </c>
      <c r="D23" s="29">
        <v>50</v>
      </c>
      <c r="E23" s="29">
        <v>30</v>
      </c>
      <c r="F23" s="29">
        <v>20</v>
      </c>
      <c r="G23" s="29">
        <v>15</v>
      </c>
      <c r="H23" s="29">
        <v>15</v>
      </c>
      <c r="I23" s="29">
        <v>15</v>
      </c>
      <c r="O23" s="1"/>
      <c r="P23" s="17"/>
      <c r="Q23" s="1"/>
      <c r="R23" s="1"/>
      <c r="S23" s="1"/>
      <c r="T23" s="1"/>
      <c r="U23" s="1"/>
      <c r="V23" s="1"/>
    </row>
    <row r="24" spans="2:30" x14ac:dyDescent="0.35">
      <c r="B24" s="1">
        <v>7</v>
      </c>
      <c r="C24" s="1" t="s">
        <v>108</v>
      </c>
      <c r="D24" s="1">
        <v>110</v>
      </c>
      <c r="E24" s="1">
        <v>110</v>
      </c>
      <c r="F24" s="1">
        <v>110</v>
      </c>
      <c r="G24" s="1">
        <v>110</v>
      </c>
      <c r="H24" s="1">
        <v>110</v>
      </c>
      <c r="I24" s="1">
        <v>110</v>
      </c>
      <c r="O24" s="1"/>
      <c r="P24" s="17"/>
      <c r="Q24" s="1"/>
      <c r="R24" s="1"/>
      <c r="S24" s="1"/>
      <c r="T24" s="1"/>
      <c r="U24" s="1"/>
      <c r="V24" s="1"/>
    </row>
    <row r="25" spans="2:30" x14ac:dyDescent="0.35">
      <c r="B25" s="1">
        <v>8</v>
      </c>
      <c r="C25" s="1" t="s">
        <v>109</v>
      </c>
      <c r="D25" s="1">
        <v>20</v>
      </c>
      <c r="E25" s="1">
        <v>20</v>
      </c>
      <c r="F25" s="1">
        <v>20</v>
      </c>
      <c r="G25" s="1">
        <v>20</v>
      </c>
      <c r="H25" s="1">
        <v>20</v>
      </c>
      <c r="I25" s="1">
        <v>20</v>
      </c>
      <c r="O25" s="1"/>
      <c r="P25" s="17"/>
      <c r="Q25" s="1"/>
      <c r="R25" s="1"/>
      <c r="S25" s="1"/>
      <c r="T25" s="1"/>
      <c r="U25" s="1"/>
      <c r="V25" s="1"/>
    </row>
    <row r="26" spans="2:30" x14ac:dyDescent="0.35">
      <c r="B26" s="1">
        <v>9</v>
      </c>
      <c r="C26" s="1" t="s">
        <v>110</v>
      </c>
      <c r="D26" s="1">
        <v>20</v>
      </c>
      <c r="E26" s="1">
        <v>20</v>
      </c>
      <c r="F26" s="1">
        <v>20</v>
      </c>
      <c r="G26" s="1">
        <v>20</v>
      </c>
      <c r="H26" s="1">
        <v>20</v>
      </c>
      <c r="I26" s="1">
        <v>20</v>
      </c>
      <c r="O26" s="1"/>
      <c r="P26" s="17"/>
      <c r="Q26" s="1"/>
      <c r="R26" s="1"/>
      <c r="S26" s="1"/>
      <c r="T26" s="1"/>
      <c r="U26" s="1"/>
      <c r="V26" s="1"/>
    </row>
    <row r="27" spans="2:30" x14ac:dyDescent="0.35">
      <c r="B27" s="1"/>
      <c r="C27" s="12" t="s">
        <v>14</v>
      </c>
      <c r="D27" s="13">
        <f t="shared" ref="D27:I27" si="2">SUM(D18:D26)</f>
        <v>1530</v>
      </c>
      <c r="E27" s="13">
        <f t="shared" si="2"/>
        <v>970</v>
      </c>
      <c r="F27" s="13">
        <f t="shared" si="2"/>
        <v>785</v>
      </c>
      <c r="G27" s="13">
        <f t="shared" si="2"/>
        <v>685</v>
      </c>
      <c r="H27" s="13">
        <f t="shared" si="2"/>
        <v>630</v>
      </c>
      <c r="I27" s="13">
        <f t="shared" si="2"/>
        <v>600</v>
      </c>
      <c r="O27" s="1"/>
      <c r="P27" s="12" t="s">
        <v>14</v>
      </c>
      <c r="Q27" s="18"/>
      <c r="R27" s="18"/>
      <c r="S27" s="18"/>
      <c r="T27" s="18"/>
      <c r="U27" s="18"/>
      <c r="V27" s="1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AQ27"/>
  <sheetViews>
    <sheetView topLeftCell="V1" workbookViewId="0">
      <selection activeCell="AG19" sqref="AG19"/>
    </sheetView>
  </sheetViews>
  <sheetFormatPr defaultRowHeight="14.5" x14ac:dyDescent="0.35"/>
  <cols>
    <col min="3" max="3" width="20.81640625" customWidth="1"/>
  </cols>
  <sheetData>
    <row r="3" spans="2:43" x14ac:dyDescent="0.35">
      <c r="E3" s="16" t="s">
        <v>141</v>
      </c>
    </row>
    <row r="5" spans="2:43" x14ac:dyDescent="0.35">
      <c r="B5" s="1"/>
      <c r="C5" s="1"/>
      <c r="D5" s="1"/>
      <c r="E5" s="2" t="s">
        <v>0</v>
      </c>
      <c r="F5" s="3"/>
      <c r="G5" s="3"/>
      <c r="H5" s="3"/>
      <c r="I5" s="3"/>
      <c r="J5" s="3"/>
      <c r="K5" s="4" t="s">
        <v>1</v>
      </c>
      <c r="L5" s="5"/>
      <c r="M5" s="5"/>
      <c r="N5" s="5"/>
      <c r="O5" s="5"/>
      <c r="P5" s="5"/>
      <c r="Q5" s="4" t="s">
        <v>67</v>
      </c>
      <c r="R5" s="5"/>
      <c r="S5" s="5"/>
      <c r="T5" s="5"/>
      <c r="U5" s="5"/>
      <c r="V5" s="5"/>
      <c r="W5" s="6" t="s">
        <v>68</v>
      </c>
      <c r="X5" s="7"/>
      <c r="Y5" s="7"/>
      <c r="Z5" s="7"/>
      <c r="AA5" s="7"/>
      <c r="AB5" s="7"/>
      <c r="AC5" s="8" t="s">
        <v>3</v>
      </c>
      <c r="AD5" s="9"/>
      <c r="AE5" s="9"/>
      <c r="AF5" s="9"/>
      <c r="AG5" s="9"/>
      <c r="AH5" s="9"/>
      <c r="AI5" s="10" t="s">
        <v>4</v>
      </c>
      <c r="AJ5" s="11"/>
      <c r="AK5" s="11"/>
      <c r="AL5" s="11"/>
      <c r="AM5" s="11"/>
      <c r="AN5" s="11"/>
    </row>
    <row r="6" spans="2:43" x14ac:dyDescent="0.35">
      <c r="B6" s="1"/>
      <c r="C6" s="1"/>
      <c r="D6" s="1"/>
      <c r="E6" s="3" t="s">
        <v>5</v>
      </c>
      <c r="F6" s="3"/>
      <c r="G6" s="3"/>
      <c r="H6" s="3"/>
      <c r="I6" s="3"/>
      <c r="J6" s="3"/>
      <c r="K6" s="5" t="s">
        <v>6</v>
      </c>
      <c r="L6" s="5"/>
      <c r="M6" s="5"/>
      <c r="N6" s="5"/>
      <c r="O6" s="5"/>
      <c r="P6" s="5"/>
      <c r="Q6" s="5" t="s">
        <v>49</v>
      </c>
      <c r="R6" s="5"/>
      <c r="S6" s="5"/>
      <c r="T6" s="5"/>
      <c r="U6" s="5"/>
      <c r="V6" s="5"/>
      <c r="W6" s="7" t="s">
        <v>7</v>
      </c>
      <c r="X6" s="7"/>
      <c r="Y6" s="7"/>
      <c r="Z6" s="7"/>
      <c r="AA6" s="7"/>
      <c r="AB6" s="7"/>
      <c r="AC6" s="9" t="s">
        <v>8</v>
      </c>
      <c r="AD6" s="9"/>
      <c r="AE6" s="9"/>
      <c r="AF6" s="9"/>
      <c r="AG6" s="9"/>
      <c r="AH6" s="9"/>
      <c r="AI6" s="10" t="s">
        <v>9</v>
      </c>
      <c r="AJ6" s="11"/>
      <c r="AK6" s="11"/>
      <c r="AL6" s="11"/>
      <c r="AM6" s="11"/>
      <c r="AN6" s="11"/>
    </row>
    <row r="7" spans="2:43" x14ac:dyDescent="0.35">
      <c r="B7" s="1" t="s">
        <v>10</v>
      </c>
      <c r="C7" s="1" t="s">
        <v>11</v>
      </c>
      <c r="D7" s="1" t="s">
        <v>12</v>
      </c>
      <c r="E7" s="3">
        <v>1</v>
      </c>
      <c r="F7" s="3">
        <v>2</v>
      </c>
      <c r="G7" s="3">
        <v>3</v>
      </c>
      <c r="H7" s="3">
        <v>4</v>
      </c>
      <c r="I7" s="3">
        <v>5</v>
      </c>
      <c r="J7" s="3">
        <v>6</v>
      </c>
      <c r="K7" s="5">
        <v>1</v>
      </c>
      <c r="L7" s="5">
        <v>2</v>
      </c>
      <c r="M7" s="5">
        <v>3</v>
      </c>
      <c r="N7" s="5">
        <v>4</v>
      </c>
      <c r="O7" s="5">
        <v>5</v>
      </c>
      <c r="P7" s="5">
        <v>6</v>
      </c>
      <c r="Q7" s="5">
        <v>1</v>
      </c>
      <c r="R7" s="5">
        <v>2</v>
      </c>
      <c r="S7" s="5">
        <v>3</v>
      </c>
      <c r="T7" s="5">
        <v>4</v>
      </c>
      <c r="U7" s="5">
        <v>5</v>
      </c>
      <c r="V7" s="5">
        <v>6</v>
      </c>
      <c r="W7" s="7">
        <v>1</v>
      </c>
      <c r="X7" s="7">
        <v>2</v>
      </c>
      <c r="Y7" s="7">
        <v>3</v>
      </c>
      <c r="Z7" s="7">
        <v>4</v>
      </c>
      <c r="AA7" s="7">
        <v>5</v>
      </c>
      <c r="AB7" s="7">
        <v>6</v>
      </c>
      <c r="AC7" s="9">
        <v>1</v>
      </c>
      <c r="AD7" s="9">
        <v>2</v>
      </c>
      <c r="AE7" s="9">
        <v>3</v>
      </c>
      <c r="AF7" s="9">
        <v>4</v>
      </c>
      <c r="AG7" s="9">
        <v>5</v>
      </c>
      <c r="AH7" s="9">
        <v>6</v>
      </c>
      <c r="AI7" s="11">
        <v>1</v>
      </c>
      <c r="AJ7" s="11">
        <v>2</v>
      </c>
      <c r="AK7" s="11">
        <v>3</v>
      </c>
      <c r="AL7" s="11">
        <v>4</v>
      </c>
      <c r="AM7" s="11">
        <v>5</v>
      </c>
      <c r="AN7" s="11">
        <v>6</v>
      </c>
    </row>
    <row r="8" spans="2:43" x14ac:dyDescent="0.35">
      <c r="B8" s="1">
        <v>1</v>
      </c>
      <c r="C8" s="1" t="s">
        <v>122</v>
      </c>
      <c r="D8" s="1">
        <v>2</v>
      </c>
      <c r="E8" s="3">
        <v>451</v>
      </c>
      <c r="F8" s="3">
        <v>297</v>
      </c>
      <c r="G8" s="3">
        <v>257</v>
      </c>
      <c r="H8" s="3">
        <v>297</v>
      </c>
      <c r="I8" s="3">
        <v>273</v>
      </c>
      <c r="J8" s="3">
        <v>297</v>
      </c>
      <c r="K8" s="3">
        <v>228</v>
      </c>
      <c r="L8" s="3">
        <v>203</v>
      </c>
      <c r="M8" s="3">
        <v>176</v>
      </c>
      <c r="N8" s="3">
        <v>203</v>
      </c>
      <c r="O8" s="3">
        <v>186</v>
      </c>
      <c r="P8" s="3">
        <v>203</v>
      </c>
      <c r="Q8" s="3">
        <v>228</v>
      </c>
      <c r="R8" s="3">
        <v>203</v>
      </c>
      <c r="S8" s="3">
        <v>176</v>
      </c>
      <c r="T8" s="3">
        <v>203</v>
      </c>
      <c r="U8" s="3">
        <v>186</v>
      </c>
      <c r="V8" s="3">
        <v>203</v>
      </c>
      <c r="W8" s="3">
        <v>451</v>
      </c>
      <c r="X8" s="3">
        <v>297</v>
      </c>
      <c r="Y8" s="3">
        <v>257</v>
      </c>
      <c r="Z8" s="3">
        <v>297</v>
      </c>
      <c r="AA8" s="3">
        <v>273</v>
      </c>
      <c r="AB8" s="3">
        <v>297</v>
      </c>
      <c r="AC8" s="3">
        <v>451</v>
      </c>
      <c r="AD8" s="3">
        <v>297</v>
      </c>
      <c r="AE8" s="3">
        <v>257</v>
      </c>
      <c r="AF8" s="3">
        <v>297</v>
      </c>
      <c r="AG8" s="3">
        <v>273</v>
      </c>
      <c r="AH8" s="3">
        <v>297</v>
      </c>
      <c r="AI8" s="3">
        <v>596</v>
      </c>
      <c r="AJ8" s="3">
        <v>373</v>
      </c>
      <c r="AK8" s="3">
        <v>323</v>
      </c>
      <c r="AL8" s="3">
        <v>373</v>
      </c>
      <c r="AM8" s="3">
        <v>343</v>
      </c>
      <c r="AN8" s="3">
        <v>373</v>
      </c>
    </row>
    <row r="9" spans="2:43" x14ac:dyDescent="0.35">
      <c r="B9" s="1">
        <v>2</v>
      </c>
      <c r="C9" s="1" t="s">
        <v>115</v>
      </c>
      <c r="D9" s="1">
        <v>2</v>
      </c>
      <c r="E9" s="3">
        <v>546</v>
      </c>
      <c r="F9" s="3">
        <v>364</v>
      </c>
      <c r="G9" s="3">
        <v>364</v>
      </c>
      <c r="H9" s="3">
        <v>364</v>
      </c>
      <c r="I9" s="3">
        <v>364</v>
      </c>
      <c r="J9" s="3">
        <v>364</v>
      </c>
      <c r="K9" s="5">
        <v>458</v>
      </c>
      <c r="L9" s="5">
        <v>305</v>
      </c>
      <c r="M9" s="5">
        <v>305</v>
      </c>
      <c r="N9" s="5">
        <v>305</v>
      </c>
      <c r="O9" s="5">
        <v>305</v>
      </c>
      <c r="P9" s="5">
        <v>305</v>
      </c>
      <c r="Q9" s="3">
        <v>709</v>
      </c>
      <c r="R9" s="3">
        <v>473</v>
      </c>
      <c r="S9" s="3">
        <v>473</v>
      </c>
      <c r="T9" s="3">
        <v>473</v>
      </c>
      <c r="U9" s="3">
        <v>473</v>
      </c>
      <c r="V9" s="3">
        <v>473</v>
      </c>
      <c r="W9" s="3">
        <v>709</v>
      </c>
      <c r="X9" s="3">
        <v>473</v>
      </c>
      <c r="Y9" s="3">
        <v>473</v>
      </c>
      <c r="Z9" s="3">
        <v>473</v>
      </c>
      <c r="AA9" s="3">
        <v>473</v>
      </c>
      <c r="AB9" s="3">
        <v>473</v>
      </c>
      <c r="AC9" s="3">
        <v>546</v>
      </c>
      <c r="AD9" s="3">
        <v>364</v>
      </c>
      <c r="AE9" s="3">
        <v>364</v>
      </c>
      <c r="AF9" s="3">
        <v>364</v>
      </c>
      <c r="AG9" s="3">
        <v>364</v>
      </c>
      <c r="AH9" s="3">
        <v>364</v>
      </c>
      <c r="AI9" s="7">
        <v>709</v>
      </c>
      <c r="AJ9" s="7">
        <v>473</v>
      </c>
      <c r="AK9" s="7">
        <v>473</v>
      </c>
      <c r="AL9" s="7">
        <v>473</v>
      </c>
      <c r="AM9" s="7">
        <v>473</v>
      </c>
      <c r="AN9" s="7">
        <v>473</v>
      </c>
    </row>
    <row r="10" spans="2:43" ht="15.5" x14ac:dyDescent="0.35">
      <c r="B10" s="1">
        <v>3</v>
      </c>
      <c r="C10" s="1" t="s">
        <v>69</v>
      </c>
      <c r="D10" s="1">
        <v>1</v>
      </c>
      <c r="E10" s="3">
        <v>248</v>
      </c>
      <c r="F10" s="3">
        <v>161</v>
      </c>
      <c r="G10" s="3">
        <v>140</v>
      </c>
      <c r="H10" s="3">
        <v>161</v>
      </c>
      <c r="I10" s="3">
        <v>149</v>
      </c>
      <c r="J10" s="3">
        <v>161</v>
      </c>
      <c r="K10" s="5">
        <v>114</v>
      </c>
      <c r="L10" s="5">
        <v>114</v>
      </c>
      <c r="M10" s="5">
        <v>100</v>
      </c>
      <c r="N10" s="5">
        <v>114</v>
      </c>
      <c r="O10" s="5">
        <v>105</v>
      </c>
      <c r="P10" s="5">
        <v>114</v>
      </c>
      <c r="Q10" s="3">
        <v>414</v>
      </c>
      <c r="R10" s="3">
        <v>256</v>
      </c>
      <c r="S10" s="3">
        <v>222</v>
      </c>
      <c r="T10" s="3">
        <v>256</v>
      </c>
      <c r="U10" s="3">
        <v>236</v>
      </c>
      <c r="V10" s="3">
        <v>256</v>
      </c>
      <c r="W10" s="7">
        <v>414</v>
      </c>
      <c r="X10" s="7">
        <v>256</v>
      </c>
      <c r="Y10" s="7">
        <v>222</v>
      </c>
      <c r="Z10" s="7">
        <v>256</v>
      </c>
      <c r="AA10" s="7">
        <v>236</v>
      </c>
      <c r="AB10" s="7">
        <v>256</v>
      </c>
      <c r="AC10" s="3">
        <v>248</v>
      </c>
      <c r="AD10" s="3">
        <v>161</v>
      </c>
      <c r="AE10" s="3">
        <v>140</v>
      </c>
      <c r="AF10" s="3">
        <v>161</v>
      </c>
      <c r="AG10" s="3">
        <v>149</v>
      </c>
      <c r="AH10" s="3">
        <v>161</v>
      </c>
      <c r="AI10" s="7">
        <v>462</v>
      </c>
      <c r="AJ10" s="7">
        <v>289</v>
      </c>
      <c r="AK10" s="7">
        <v>250</v>
      </c>
      <c r="AL10" s="7">
        <v>289</v>
      </c>
      <c r="AM10" s="7">
        <v>266</v>
      </c>
      <c r="AN10" s="7">
        <v>289</v>
      </c>
      <c r="AO10" s="32"/>
      <c r="AP10" s="32"/>
      <c r="AQ10" s="32"/>
    </row>
    <row r="11" spans="2:43" ht="15.5" x14ac:dyDescent="0.35">
      <c r="B11" s="1">
        <v>4</v>
      </c>
      <c r="C11" s="1" t="s">
        <v>79</v>
      </c>
      <c r="D11" s="1">
        <v>2</v>
      </c>
      <c r="E11" s="3">
        <v>380</v>
      </c>
      <c r="F11" s="3">
        <v>288</v>
      </c>
      <c r="G11" s="3">
        <v>268</v>
      </c>
      <c r="H11" s="3">
        <v>288</v>
      </c>
      <c r="I11" s="3">
        <v>276</v>
      </c>
      <c r="J11" s="3">
        <v>288</v>
      </c>
      <c r="K11" s="3">
        <v>380</v>
      </c>
      <c r="L11" s="3">
        <v>288</v>
      </c>
      <c r="M11" s="3">
        <v>268</v>
      </c>
      <c r="N11" s="3">
        <v>288</v>
      </c>
      <c r="O11" s="3">
        <v>276</v>
      </c>
      <c r="P11" s="3">
        <v>288</v>
      </c>
      <c r="Q11" s="3">
        <v>380</v>
      </c>
      <c r="R11" s="3">
        <v>288</v>
      </c>
      <c r="S11" s="3">
        <v>268</v>
      </c>
      <c r="T11" s="3">
        <v>288</v>
      </c>
      <c r="U11" s="3">
        <v>276</v>
      </c>
      <c r="V11" s="3">
        <v>288</v>
      </c>
      <c r="W11" s="3">
        <v>828</v>
      </c>
      <c r="X11" s="3">
        <v>598</v>
      </c>
      <c r="Y11" s="3">
        <v>548</v>
      </c>
      <c r="Z11" s="3">
        <v>598</v>
      </c>
      <c r="AA11" s="3">
        <v>568</v>
      </c>
      <c r="AB11" s="3">
        <v>598</v>
      </c>
      <c r="AC11" s="3">
        <v>380</v>
      </c>
      <c r="AD11" s="3">
        <v>288</v>
      </c>
      <c r="AE11" s="3">
        <v>268</v>
      </c>
      <c r="AF11" s="3">
        <v>288</v>
      </c>
      <c r="AG11" s="3">
        <v>276</v>
      </c>
      <c r="AH11" s="3">
        <v>288</v>
      </c>
      <c r="AI11" s="3">
        <v>702</v>
      </c>
      <c r="AJ11" s="3">
        <v>552</v>
      </c>
      <c r="AK11" s="3">
        <v>518</v>
      </c>
      <c r="AL11" s="3">
        <v>552</v>
      </c>
      <c r="AM11" s="3">
        <v>532</v>
      </c>
      <c r="AN11" s="3">
        <v>552</v>
      </c>
      <c r="AO11" s="32"/>
      <c r="AP11" s="32"/>
      <c r="AQ11" s="32"/>
    </row>
    <row r="12" spans="2:43" x14ac:dyDescent="0.35">
      <c r="B12" s="1"/>
      <c r="C12" s="12" t="s">
        <v>14</v>
      </c>
      <c r="D12" s="1">
        <v>7</v>
      </c>
      <c r="E12" s="3">
        <f t="shared" ref="E12:AN12" si="0">SUM(E8:E10)</f>
        <v>1245</v>
      </c>
      <c r="F12" s="3">
        <f t="shared" si="0"/>
        <v>822</v>
      </c>
      <c r="G12" s="3">
        <f t="shared" si="0"/>
        <v>761</v>
      </c>
      <c r="H12" s="3">
        <f t="shared" si="0"/>
        <v>822</v>
      </c>
      <c r="I12" s="3">
        <f t="shared" si="0"/>
        <v>786</v>
      </c>
      <c r="J12" s="3">
        <f t="shared" si="0"/>
        <v>822</v>
      </c>
      <c r="K12" s="3">
        <f t="shared" si="0"/>
        <v>800</v>
      </c>
      <c r="L12" s="3">
        <f t="shared" si="0"/>
        <v>622</v>
      </c>
      <c r="M12" s="3">
        <f t="shared" si="0"/>
        <v>581</v>
      </c>
      <c r="N12" s="3">
        <f t="shared" si="0"/>
        <v>622</v>
      </c>
      <c r="O12" s="3">
        <f t="shared" si="0"/>
        <v>596</v>
      </c>
      <c r="P12" s="3">
        <f t="shared" si="0"/>
        <v>622</v>
      </c>
      <c r="Q12" s="3">
        <f t="shared" si="0"/>
        <v>1351</v>
      </c>
      <c r="R12" s="3">
        <f t="shared" si="0"/>
        <v>932</v>
      </c>
      <c r="S12" s="3">
        <f t="shared" si="0"/>
        <v>871</v>
      </c>
      <c r="T12" s="3">
        <f t="shared" si="0"/>
        <v>932</v>
      </c>
      <c r="U12" s="3">
        <f t="shared" si="0"/>
        <v>895</v>
      </c>
      <c r="V12" s="3">
        <f t="shared" si="0"/>
        <v>932</v>
      </c>
      <c r="W12" s="3">
        <f t="shared" si="0"/>
        <v>1574</v>
      </c>
      <c r="X12" s="3">
        <f t="shared" si="0"/>
        <v>1026</v>
      </c>
      <c r="Y12" s="3">
        <f t="shared" si="0"/>
        <v>952</v>
      </c>
      <c r="Z12" s="3">
        <f t="shared" si="0"/>
        <v>1026</v>
      </c>
      <c r="AA12" s="3">
        <f t="shared" si="0"/>
        <v>982</v>
      </c>
      <c r="AB12" s="3">
        <f t="shared" si="0"/>
        <v>1026</v>
      </c>
      <c r="AC12" s="3">
        <f t="shared" si="0"/>
        <v>1245</v>
      </c>
      <c r="AD12" s="3">
        <f t="shared" si="0"/>
        <v>822</v>
      </c>
      <c r="AE12" s="3">
        <f t="shared" si="0"/>
        <v>761</v>
      </c>
      <c r="AF12" s="3">
        <f t="shared" si="0"/>
        <v>822</v>
      </c>
      <c r="AG12" s="3">
        <f t="shared" si="0"/>
        <v>786</v>
      </c>
      <c r="AH12" s="3">
        <f t="shared" si="0"/>
        <v>822</v>
      </c>
      <c r="AI12" s="3">
        <f t="shared" si="0"/>
        <v>1767</v>
      </c>
      <c r="AJ12" s="3">
        <f t="shared" si="0"/>
        <v>1135</v>
      </c>
      <c r="AK12" s="3">
        <f t="shared" si="0"/>
        <v>1046</v>
      </c>
      <c r="AL12" s="3">
        <f t="shared" si="0"/>
        <v>1135</v>
      </c>
      <c r="AM12" s="3">
        <f t="shared" si="0"/>
        <v>1082</v>
      </c>
      <c r="AN12" s="3">
        <f t="shared" si="0"/>
        <v>1135</v>
      </c>
    </row>
    <row r="13" spans="2:43" x14ac:dyDescent="0.35">
      <c r="B13" s="1"/>
      <c r="C13" s="12" t="s">
        <v>15</v>
      </c>
      <c r="D13" s="1"/>
      <c r="E13" s="13">
        <v>2770</v>
      </c>
      <c r="F13" s="13">
        <v>1870</v>
      </c>
      <c r="G13" s="13">
        <v>1530</v>
      </c>
      <c r="H13" s="13">
        <v>1360</v>
      </c>
      <c r="I13" s="13">
        <v>1255</v>
      </c>
      <c r="J13" s="13">
        <v>1190</v>
      </c>
      <c r="K13" s="13">
        <v>2770</v>
      </c>
      <c r="L13" s="13">
        <v>1870</v>
      </c>
      <c r="M13" s="13">
        <v>1530</v>
      </c>
      <c r="N13" s="13">
        <v>1360</v>
      </c>
      <c r="O13" s="13">
        <v>1255</v>
      </c>
      <c r="P13" s="13">
        <v>1190</v>
      </c>
      <c r="Q13" s="13">
        <v>2770</v>
      </c>
      <c r="R13" s="13">
        <v>1870</v>
      </c>
      <c r="S13" s="13">
        <v>1530</v>
      </c>
      <c r="T13" s="13">
        <v>1360</v>
      </c>
      <c r="U13" s="13">
        <v>1255</v>
      </c>
      <c r="V13" s="13">
        <v>1190</v>
      </c>
      <c r="W13" s="13">
        <v>2970</v>
      </c>
      <c r="X13" s="13">
        <v>2170</v>
      </c>
      <c r="Y13" s="13">
        <v>1830</v>
      </c>
      <c r="Z13" s="13">
        <v>1660</v>
      </c>
      <c r="AA13" s="13">
        <v>1555</v>
      </c>
      <c r="AB13" s="13">
        <v>1490</v>
      </c>
      <c r="AC13" s="13">
        <v>2970</v>
      </c>
      <c r="AD13" s="13">
        <v>2170</v>
      </c>
      <c r="AE13" s="13">
        <v>1830</v>
      </c>
      <c r="AF13" s="13">
        <v>1660</v>
      </c>
      <c r="AG13" s="13">
        <v>1555</v>
      </c>
      <c r="AH13" s="13">
        <v>1490</v>
      </c>
      <c r="AI13" s="13">
        <v>2970</v>
      </c>
      <c r="AJ13" s="13">
        <v>2170</v>
      </c>
      <c r="AK13" s="13">
        <v>1830</v>
      </c>
      <c r="AL13" s="13">
        <v>1660</v>
      </c>
      <c r="AM13" s="13">
        <v>1555</v>
      </c>
      <c r="AN13" s="13">
        <v>1490</v>
      </c>
    </row>
    <row r="14" spans="2:43" x14ac:dyDescent="0.35">
      <c r="B14" s="1"/>
      <c r="C14" s="14" t="s">
        <v>14</v>
      </c>
      <c r="D14" s="1"/>
      <c r="E14" s="13">
        <f t="shared" ref="E14:AN14" si="1">SUM(E12:E13)</f>
        <v>4015</v>
      </c>
      <c r="F14" s="13">
        <f t="shared" si="1"/>
        <v>2692</v>
      </c>
      <c r="G14" s="13">
        <f t="shared" si="1"/>
        <v>2291</v>
      </c>
      <c r="H14" s="13">
        <f t="shared" si="1"/>
        <v>2182</v>
      </c>
      <c r="I14" s="13">
        <f t="shared" si="1"/>
        <v>2041</v>
      </c>
      <c r="J14" s="13">
        <f t="shared" si="1"/>
        <v>2012</v>
      </c>
      <c r="K14" s="13">
        <f t="shared" si="1"/>
        <v>3570</v>
      </c>
      <c r="L14" s="13">
        <f t="shared" si="1"/>
        <v>2492</v>
      </c>
      <c r="M14" s="13">
        <f t="shared" si="1"/>
        <v>2111</v>
      </c>
      <c r="N14" s="13">
        <f t="shared" si="1"/>
        <v>1982</v>
      </c>
      <c r="O14" s="13">
        <f t="shared" si="1"/>
        <v>1851</v>
      </c>
      <c r="P14" s="13">
        <f t="shared" si="1"/>
        <v>1812</v>
      </c>
      <c r="Q14" s="13">
        <f t="shared" si="1"/>
        <v>4121</v>
      </c>
      <c r="R14" s="13">
        <f t="shared" si="1"/>
        <v>2802</v>
      </c>
      <c r="S14" s="13">
        <f t="shared" si="1"/>
        <v>2401</v>
      </c>
      <c r="T14" s="13">
        <f t="shared" si="1"/>
        <v>2292</v>
      </c>
      <c r="U14" s="13">
        <f t="shared" si="1"/>
        <v>2150</v>
      </c>
      <c r="V14" s="13">
        <f t="shared" si="1"/>
        <v>2122</v>
      </c>
      <c r="W14" s="13">
        <f t="shared" si="1"/>
        <v>4544</v>
      </c>
      <c r="X14" s="13">
        <f t="shared" si="1"/>
        <v>3196</v>
      </c>
      <c r="Y14" s="13">
        <f t="shared" si="1"/>
        <v>2782</v>
      </c>
      <c r="Z14" s="13">
        <f t="shared" si="1"/>
        <v>2686</v>
      </c>
      <c r="AA14" s="13">
        <f t="shared" si="1"/>
        <v>2537</v>
      </c>
      <c r="AB14" s="13">
        <f t="shared" si="1"/>
        <v>2516</v>
      </c>
      <c r="AC14" s="13">
        <f t="shared" si="1"/>
        <v>4215</v>
      </c>
      <c r="AD14" s="13">
        <f t="shared" si="1"/>
        <v>2992</v>
      </c>
      <c r="AE14" s="13">
        <f t="shared" si="1"/>
        <v>2591</v>
      </c>
      <c r="AF14" s="13">
        <f t="shared" si="1"/>
        <v>2482</v>
      </c>
      <c r="AG14" s="13">
        <f t="shared" si="1"/>
        <v>2341</v>
      </c>
      <c r="AH14" s="13">
        <f t="shared" si="1"/>
        <v>2312</v>
      </c>
      <c r="AI14" s="13">
        <f t="shared" si="1"/>
        <v>4737</v>
      </c>
      <c r="AJ14" s="13">
        <f t="shared" si="1"/>
        <v>3305</v>
      </c>
      <c r="AK14" s="13">
        <f t="shared" si="1"/>
        <v>2876</v>
      </c>
      <c r="AL14" s="13">
        <f t="shared" si="1"/>
        <v>2795</v>
      </c>
      <c r="AM14" s="13">
        <f t="shared" si="1"/>
        <v>2637</v>
      </c>
      <c r="AN14" s="3">
        <f t="shared" si="1"/>
        <v>2625</v>
      </c>
    </row>
    <row r="15" spans="2:43" x14ac:dyDescent="0.35">
      <c r="C15" s="15"/>
    </row>
    <row r="16" spans="2:43" x14ac:dyDescent="0.35">
      <c r="E16" s="16" t="s">
        <v>16</v>
      </c>
    </row>
    <row r="17" spans="2:19" x14ac:dyDescent="0.35">
      <c r="C17" s="16" t="s">
        <v>17</v>
      </c>
      <c r="M17" s="16" t="s">
        <v>18</v>
      </c>
      <c r="N17" s="16"/>
    </row>
    <row r="18" spans="2:19" x14ac:dyDescent="0.35">
      <c r="B18" s="1" t="s">
        <v>10</v>
      </c>
      <c r="C18" s="1" t="s">
        <v>19</v>
      </c>
      <c r="D18" s="1">
        <v>1</v>
      </c>
      <c r="E18" s="1">
        <v>2</v>
      </c>
      <c r="F18" s="1">
        <v>3</v>
      </c>
      <c r="G18" s="1">
        <v>4</v>
      </c>
      <c r="H18" s="1">
        <v>5</v>
      </c>
      <c r="I18" s="1">
        <v>6</v>
      </c>
      <c r="L18" s="1" t="s">
        <v>10</v>
      </c>
      <c r="M18" s="1" t="s">
        <v>19</v>
      </c>
      <c r="N18" s="1">
        <v>1</v>
      </c>
      <c r="O18" s="1">
        <v>2</v>
      </c>
      <c r="P18" s="1">
        <v>3</v>
      </c>
      <c r="Q18" s="1">
        <v>4</v>
      </c>
      <c r="R18" s="1">
        <v>5</v>
      </c>
      <c r="S18" s="1">
        <v>6</v>
      </c>
    </row>
    <row r="19" spans="2:19" x14ac:dyDescent="0.35">
      <c r="B19" s="1"/>
      <c r="C19" s="1" t="s">
        <v>123</v>
      </c>
      <c r="D19" s="1">
        <v>140</v>
      </c>
      <c r="E19" s="1">
        <v>140</v>
      </c>
      <c r="F19" s="1">
        <v>140</v>
      </c>
      <c r="G19" s="1">
        <v>140</v>
      </c>
      <c r="H19" s="1">
        <v>140</v>
      </c>
      <c r="I19" s="1">
        <v>140</v>
      </c>
      <c r="L19" s="1"/>
      <c r="M19" s="1" t="s">
        <v>124</v>
      </c>
      <c r="N19" s="1">
        <v>140</v>
      </c>
      <c r="O19" s="1">
        <v>140</v>
      </c>
      <c r="P19" s="1">
        <v>140</v>
      </c>
      <c r="Q19" s="1">
        <v>140</v>
      </c>
      <c r="R19" s="1">
        <v>140</v>
      </c>
      <c r="S19" s="1">
        <v>140</v>
      </c>
    </row>
    <row r="20" spans="2:19" x14ac:dyDescent="0.35">
      <c r="B20" s="1">
        <v>1</v>
      </c>
      <c r="C20" s="1" t="s">
        <v>116</v>
      </c>
      <c r="D20" s="1">
        <v>220</v>
      </c>
      <c r="E20" s="1">
        <v>220</v>
      </c>
      <c r="F20" s="1">
        <v>220</v>
      </c>
      <c r="G20" s="1">
        <v>220</v>
      </c>
      <c r="H20" s="1">
        <v>220</v>
      </c>
      <c r="I20" s="1">
        <v>220</v>
      </c>
      <c r="L20" s="1">
        <v>1</v>
      </c>
      <c r="M20" s="1" t="s">
        <v>117</v>
      </c>
      <c r="N20" s="1">
        <v>220</v>
      </c>
      <c r="O20" s="1">
        <v>220</v>
      </c>
      <c r="P20" s="1">
        <v>220</v>
      </c>
      <c r="Q20" s="1">
        <v>220</v>
      </c>
      <c r="R20" s="1">
        <v>220</v>
      </c>
      <c r="S20" s="1">
        <v>220</v>
      </c>
    </row>
    <row r="21" spans="2:19" x14ac:dyDescent="0.35">
      <c r="B21" s="1">
        <v>2</v>
      </c>
      <c r="C21" s="1" t="s">
        <v>71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L21" s="1">
        <v>2</v>
      </c>
      <c r="M21" s="1" t="s">
        <v>73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</row>
    <row r="22" spans="2:19" x14ac:dyDescent="0.35">
      <c r="B22" s="1">
        <v>3</v>
      </c>
      <c r="C22" s="1" t="s">
        <v>30</v>
      </c>
      <c r="D22" s="1">
        <v>200</v>
      </c>
      <c r="E22" s="1">
        <v>300</v>
      </c>
      <c r="F22" s="1">
        <v>300</v>
      </c>
      <c r="G22" s="1">
        <v>300</v>
      </c>
      <c r="H22" s="1">
        <v>300</v>
      </c>
      <c r="I22" s="1">
        <v>300</v>
      </c>
      <c r="L22" s="1">
        <v>3</v>
      </c>
      <c r="M22" s="17" t="s">
        <v>118</v>
      </c>
      <c r="N22" s="1">
        <v>400</v>
      </c>
      <c r="O22" s="1">
        <v>600</v>
      </c>
      <c r="P22" s="1">
        <v>600</v>
      </c>
      <c r="Q22" s="1">
        <v>600</v>
      </c>
      <c r="R22" s="1">
        <v>600</v>
      </c>
      <c r="S22" s="1">
        <v>600</v>
      </c>
    </row>
    <row r="23" spans="2:19" x14ac:dyDescent="0.35">
      <c r="B23" s="1">
        <v>4</v>
      </c>
      <c r="C23" s="1" t="s">
        <v>140</v>
      </c>
      <c r="D23" s="1">
        <v>2000</v>
      </c>
      <c r="E23" s="1">
        <v>1000</v>
      </c>
      <c r="F23" s="1">
        <v>670</v>
      </c>
      <c r="G23" s="1">
        <v>500</v>
      </c>
      <c r="H23" s="1">
        <v>400</v>
      </c>
      <c r="I23" s="1">
        <v>335</v>
      </c>
      <c r="L23" s="1">
        <v>4</v>
      </c>
      <c r="M23" s="17" t="s">
        <v>98</v>
      </c>
      <c r="N23" s="1">
        <v>2000</v>
      </c>
      <c r="O23" s="1">
        <v>1000</v>
      </c>
      <c r="P23" s="1">
        <v>670</v>
      </c>
      <c r="Q23" s="1">
        <v>500</v>
      </c>
      <c r="R23" s="1">
        <v>400</v>
      </c>
      <c r="S23" s="1">
        <v>335</v>
      </c>
    </row>
    <row r="24" spans="2:19" x14ac:dyDescent="0.35">
      <c r="B24" s="1">
        <v>5</v>
      </c>
      <c r="C24" s="1" t="s">
        <v>22</v>
      </c>
      <c r="D24" s="1">
        <v>30</v>
      </c>
      <c r="E24" s="1">
        <v>30</v>
      </c>
      <c r="F24" s="1">
        <v>20</v>
      </c>
      <c r="G24" s="1">
        <v>20</v>
      </c>
      <c r="H24" s="1">
        <v>15</v>
      </c>
      <c r="I24" s="1">
        <v>15</v>
      </c>
      <c r="L24" s="1">
        <v>5</v>
      </c>
      <c r="M24" s="17" t="s">
        <v>119</v>
      </c>
      <c r="N24" s="1">
        <v>70</v>
      </c>
      <c r="O24" s="1">
        <v>70</v>
      </c>
      <c r="P24" s="1">
        <v>70</v>
      </c>
      <c r="Q24" s="1">
        <v>70</v>
      </c>
      <c r="R24" s="1">
        <v>70</v>
      </c>
      <c r="S24" s="1">
        <v>70</v>
      </c>
    </row>
    <row r="25" spans="2:19" x14ac:dyDescent="0.35">
      <c r="B25" s="1">
        <v>6</v>
      </c>
      <c r="C25" s="1" t="s">
        <v>120</v>
      </c>
      <c r="D25" s="1">
        <v>70</v>
      </c>
      <c r="E25" s="1">
        <v>70</v>
      </c>
      <c r="F25" s="1">
        <v>70</v>
      </c>
      <c r="G25" s="1">
        <v>70</v>
      </c>
      <c r="H25" s="1">
        <v>70</v>
      </c>
      <c r="I25" s="1">
        <v>70</v>
      </c>
      <c r="L25" s="1">
        <v>6</v>
      </c>
      <c r="M25" s="17" t="s">
        <v>34</v>
      </c>
      <c r="N25" s="1">
        <v>30</v>
      </c>
      <c r="O25" s="1">
        <v>30</v>
      </c>
      <c r="P25" s="1">
        <v>20</v>
      </c>
      <c r="Q25" s="1">
        <v>20</v>
      </c>
      <c r="R25" s="1">
        <v>15</v>
      </c>
      <c r="S25" s="1">
        <v>15</v>
      </c>
    </row>
    <row r="26" spans="2:19" x14ac:dyDescent="0.35">
      <c r="B26" s="1">
        <v>7</v>
      </c>
      <c r="C26" s="1" t="s">
        <v>121</v>
      </c>
      <c r="D26" s="1">
        <v>20</v>
      </c>
      <c r="E26" s="1">
        <v>20</v>
      </c>
      <c r="F26" s="1">
        <v>20</v>
      </c>
      <c r="G26" s="1">
        <v>20</v>
      </c>
      <c r="H26" s="1">
        <v>20</v>
      </c>
      <c r="I26" s="1">
        <v>20</v>
      </c>
      <c r="L26" s="1">
        <v>7</v>
      </c>
      <c r="M26" s="17" t="s">
        <v>36</v>
      </c>
      <c r="N26" s="1">
        <v>20</v>
      </c>
      <c r="O26" s="1">
        <v>20</v>
      </c>
      <c r="P26" s="1">
        <v>20</v>
      </c>
      <c r="Q26" s="1">
        <v>20</v>
      </c>
      <c r="R26" s="1">
        <v>20</v>
      </c>
      <c r="S26" s="1">
        <v>20</v>
      </c>
    </row>
    <row r="27" spans="2:19" x14ac:dyDescent="0.35">
      <c r="B27" s="1"/>
      <c r="C27" s="12" t="s">
        <v>14</v>
      </c>
      <c r="D27" s="13">
        <f t="shared" ref="D27:I27" si="2">SUM(D19:D26)</f>
        <v>2770</v>
      </c>
      <c r="E27" s="13">
        <f t="shared" si="2"/>
        <v>1870</v>
      </c>
      <c r="F27" s="13">
        <f t="shared" si="2"/>
        <v>1530</v>
      </c>
      <c r="G27" s="13">
        <f t="shared" si="2"/>
        <v>1360</v>
      </c>
      <c r="H27" s="13">
        <f t="shared" si="2"/>
        <v>1255</v>
      </c>
      <c r="I27" s="13">
        <f t="shared" si="2"/>
        <v>1190</v>
      </c>
      <c r="L27" s="1"/>
      <c r="M27" s="12" t="s">
        <v>14</v>
      </c>
      <c r="N27" s="13">
        <f t="shared" ref="N27:S27" si="3">SUM(N19:N26)</f>
        <v>2970</v>
      </c>
      <c r="O27" s="13">
        <f t="shared" si="3"/>
        <v>2170</v>
      </c>
      <c r="P27" s="13">
        <f t="shared" si="3"/>
        <v>1830</v>
      </c>
      <c r="Q27" s="13">
        <f t="shared" si="3"/>
        <v>1660</v>
      </c>
      <c r="R27" s="13">
        <f t="shared" si="3"/>
        <v>1555</v>
      </c>
      <c r="S27" s="13">
        <f t="shared" si="3"/>
        <v>1490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M32"/>
  <sheetViews>
    <sheetView workbookViewId="0">
      <selection activeCell="Z21" sqref="Z21"/>
    </sheetView>
  </sheetViews>
  <sheetFormatPr defaultRowHeight="14.5" x14ac:dyDescent="0.35"/>
  <cols>
    <col min="2" max="2" width="16.81640625" customWidth="1"/>
  </cols>
  <sheetData>
    <row r="2" spans="1:39" x14ac:dyDescent="0.35">
      <c r="A2" s="16"/>
      <c r="B2" s="16"/>
      <c r="C2" s="16" t="s">
        <v>125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4" spans="1:39" x14ac:dyDescent="0.35">
      <c r="A4" s="1"/>
      <c r="B4" s="1"/>
      <c r="C4" s="1"/>
      <c r="D4" s="2" t="s">
        <v>100</v>
      </c>
      <c r="E4" s="3"/>
      <c r="F4" s="3"/>
      <c r="G4" s="3"/>
      <c r="H4" s="3"/>
      <c r="I4" s="3"/>
      <c r="J4" s="4" t="s">
        <v>1</v>
      </c>
      <c r="K4" s="5"/>
      <c r="L4" s="5"/>
      <c r="M4" s="5"/>
      <c r="N4" s="5"/>
      <c r="O4" s="5"/>
      <c r="P4" s="6" t="s">
        <v>131</v>
      </c>
      <c r="Q4" s="7"/>
      <c r="R4" s="7"/>
      <c r="S4" s="7"/>
      <c r="T4" s="7"/>
      <c r="U4" s="7"/>
      <c r="V4" s="2" t="s">
        <v>68</v>
      </c>
      <c r="W4" s="3"/>
      <c r="X4" s="3"/>
      <c r="Y4" s="3"/>
      <c r="Z4" s="3"/>
      <c r="AA4" s="3"/>
      <c r="AB4" s="8" t="s">
        <v>90</v>
      </c>
      <c r="AC4" s="9"/>
      <c r="AD4" s="9"/>
      <c r="AE4" s="9"/>
      <c r="AF4" s="9"/>
      <c r="AG4" s="9"/>
      <c r="AH4" s="33" t="s">
        <v>4</v>
      </c>
      <c r="AI4" s="34"/>
      <c r="AJ4" s="34"/>
      <c r="AK4" s="34"/>
      <c r="AL4" s="34"/>
      <c r="AM4" s="34"/>
    </row>
    <row r="5" spans="1:39" x14ac:dyDescent="0.35">
      <c r="A5" s="1"/>
      <c r="B5" s="1"/>
      <c r="C5" s="1"/>
      <c r="D5" s="3" t="s">
        <v>5</v>
      </c>
      <c r="E5" s="3"/>
      <c r="F5" s="3"/>
      <c r="G5" s="3"/>
      <c r="H5" s="3"/>
      <c r="I5" s="3"/>
      <c r="J5" s="5" t="s">
        <v>6</v>
      </c>
      <c r="K5" s="5"/>
      <c r="L5" s="5"/>
      <c r="M5" s="5"/>
      <c r="N5" s="5"/>
      <c r="O5" s="5"/>
      <c r="P5" s="7" t="s">
        <v>132</v>
      </c>
      <c r="Q5" s="7"/>
      <c r="R5" s="7"/>
      <c r="S5" s="7"/>
      <c r="T5" s="7"/>
      <c r="U5" s="7"/>
      <c r="V5" s="3" t="s">
        <v>136</v>
      </c>
      <c r="W5" s="3"/>
      <c r="X5" s="3"/>
      <c r="Y5" s="3"/>
      <c r="Z5" s="3"/>
      <c r="AA5" s="3"/>
      <c r="AB5" s="10" t="s">
        <v>135</v>
      </c>
      <c r="AC5" s="11"/>
      <c r="AD5" s="11"/>
      <c r="AE5" s="11"/>
      <c r="AF5" s="11"/>
      <c r="AG5" s="11"/>
      <c r="AH5" s="25" t="s">
        <v>134</v>
      </c>
      <c r="AI5" s="25"/>
      <c r="AJ5" s="25"/>
      <c r="AK5" s="25"/>
      <c r="AL5" s="25"/>
      <c r="AM5" s="25"/>
    </row>
    <row r="6" spans="1:39" x14ac:dyDescent="0.35">
      <c r="A6" s="1" t="s">
        <v>10</v>
      </c>
      <c r="B6" s="1" t="s">
        <v>11</v>
      </c>
      <c r="C6" s="1" t="s">
        <v>12</v>
      </c>
      <c r="D6" s="3">
        <v>1</v>
      </c>
      <c r="E6" s="3">
        <v>2</v>
      </c>
      <c r="F6" s="3">
        <v>3</v>
      </c>
      <c r="G6" s="3">
        <v>4</v>
      </c>
      <c r="H6" s="3">
        <v>5</v>
      </c>
      <c r="I6" s="3">
        <v>6</v>
      </c>
      <c r="J6" s="5">
        <v>1</v>
      </c>
      <c r="K6" s="5">
        <v>2</v>
      </c>
      <c r="L6" s="5">
        <v>3</v>
      </c>
      <c r="M6" s="5">
        <v>4</v>
      </c>
      <c r="N6" s="5">
        <v>5</v>
      </c>
      <c r="O6" s="5">
        <v>6</v>
      </c>
      <c r="P6" s="7">
        <v>1</v>
      </c>
      <c r="Q6" s="7">
        <v>2</v>
      </c>
      <c r="R6" s="7">
        <v>3</v>
      </c>
      <c r="S6" s="7">
        <v>4</v>
      </c>
      <c r="T6" s="7">
        <v>5</v>
      </c>
      <c r="U6" s="7">
        <v>6</v>
      </c>
      <c r="V6" s="3">
        <v>1</v>
      </c>
      <c r="W6" s="3">
        <v>2</v>
      </c>
      <c r="X6" s="3">
        <v>3</v>
      </c>
      <c r="Y6" s="3">
        <v>4</v>
      </c>
      <c r="Z6" s="3">
        <v>5</v>
      </c>
      <c r="AA6" s="3">
        <v>6</v>
      </c>
      <c r="AB6" s="11">
        <v>1</v>
      </c>
      <c r="AC6" s="11">
        <v>2</v>
      </c>
      <c r="AD6" s="11">
        <v>3</v>
      </c>
      <c r="AE6" s="11">
        <v>4</v>
      </c>
      <c r="AF6" s="11">
        <v>5</v>
      </c>
      <c r="AG6" s="11">
        <v>6</v>
      </c>
      <c r="AH6" s="34">
        <v>1</v>
      </c>
      <c r="AI6" s="34">
        <v>2</v>
      </c>
      <c r="AJ6" s="34">
        <v>3</v>
      </c>
      <c r="AK6" s="34">
        <v>4</v>
      </c>
      <c r="AL6" s="34">
        <v>5</v>
      </c>
      <c r="AM6" s="34">
        <v>6</v>
      </c>
    </row>
    <row r="7" spans="1:39" x14ac:dyDescent="0.35">
      <c r="A7" s="1">
        <v>1</v>
      </c>
      <c r="B7" s="1" t="s">
        <v>128</v>
      </c>
      <c r="C7" s="1">
        <v>2</v>
      </c>
      <c r="D7" s="3">
        <v>380</v>
      </c>
      <c r="E7" s="3">
        <v>288</v>
      </c>
      <c r="F7" s="3">
        <v>268</v>
      </c>
      <c r="G7" s="3">
        <v>288</v>
      </c>
      <c r="H7" s="3">
        <v>276</v>
      </c>
      <c r="I7" s="3">
        <v>288</v>
      </c>
      <c r="J7" s="3">
        <v>380</v>
      </c>
      <c r="K7" s="3">
        <v>288</v>
      </c>
      <c r="L7" s="3">
        <v>268</v>
      </c>
      <c r="M7" s="3">
        <v>288</v>
      </c>
      <c r="N7" s="3">
        <v>276</v>
      </c>
      <c r="O7" s="3">
        <v>288</v>
      </c>
      <c r="P7" s="3">
        <v>380</v>
      </c>
      <c r="Q7" s="3">
        <v>288</v>
      </c>
      <c r="R7" s="3">
        <v>268</v>
      </c>
      <c r="S7" s="3">
        <v>288</v>
      </c>
      <c r="T7" s="3">
        <v>276</v>
      </c>
      <c r="U7" s="3">
        <v>288</v>
      </c>
      <c r="V7" s="3">
        <v>828</v>
      </c>
      <c r="W7" s="3">
        <v>598</v>
      </c>
      <c r="X7" s="3">
        <v>548</v>
      </c>
      <c r="Y7" s="3">
        <v>598</v>
      </c>
      <c r="Z7" s="3">
        <v>568</v>
      </c>
      <c r="AA7" s="3">
        <v>598</v>
      </c>
      <c r="AB7" s="3">
        <v>380</v>
      </c>
      <c r="AC7" s="3">
        <v>288</v>
      </c>
      <c r="AD7" s="3">
        <v>268</v>
      </c>
      <c r="AE7" s="3">
        <v>288</v>
      </c>
      <c r="AF7" s="3">
        <v>276</v>
      </c>
      <c r="AG7" s="3">
        <v>288</v>
      </c>
      <c r="AH7" s="3">
        <v>702</v>
      </c>
      <c r="AI7" s="3">
        <v>552</v>
      </c>
      <c r="AJ7" s="3">
        <v>518</v>
      </c>
      <c r="AK7" s="3">
        <v>552</v>
      </c>
      <c r="AL7" s="3">
        <v>532</v>
      </c>
      <c r="AM7" s="3">
        <v>552</v>
      </c>
    </row>
    <row r="8" spans="1:39" x14ac:dyDescent="0.35">
      <c r="A8" s="1">
        <v>2</v>
      </c>
      <c r="B8" s="1" t="s">
        <v>78</v>
      </c>
      <c r="C8" s="1">
        <v>1</v>
      </c>
      <c r="D8" s="3">
        <v>186</v>
      </c>
      <c r="E8" s="3">
        <v>143</v>
      </c>
      <c r="F8" s="3">
        <v>122</v>
      </c>
      <c r="G8" s="3">
        <v>143</v>
      </c>
      <c r="H8" s="3">
        <v>130</v>
      </c>
      <c r="I8" s="3">
        <v>143</v>
      </c>
      <c r="J8" s="3">
        <v>135</v>
      </c>
      <c r="K8" s="3">
        <v>104</v>
      </c>
      <c r="L8" s="3">
        <v>88</v>
      </c>
      <c r="M8" s="3">
        <v>104</v>
      </c>
      <c r="N8" s="3">
        <v>94</v>
      </c>
      <c r="O8" s="3">
        <v>104</v>
      </c>
      <c r="P8" s="3">
        <v>186</v>
      </c>
      <c r="Q8" s="3">
        <v>143</v>
      </c>
      <c r="R8" s="3">
        <v>122</v>
      </c>
      <c r="S8" s="3">
        <v>143</v>
      </c>
      <c r="T8" s="3">
        <v>130</v>
      </c>
      <c r="U8" s="3">
        <v>143</v>
      </c>
      <c r="V8" s="3">
        <v>284</v>
      </c>
      <c r="W8" s="3">
        <v>219</v>
      </c>
      <c r="X8" s="3">
        <v>186</v>
      </c>
      <c r="Y8" s="3">
        <v>219</v>
      </c>
      <c r="Z8" s="3">
        <v>199</v>
      </c>
      <c r="AA8" s="3">
        <v>219</v>
      </c>
      <c r="AB8" s="3">
        <v>186</v>
      </c>
      <c r="AC8" s="3">
        <v>143</v>
      </c>
      <c r="AD8" s="3">
        <v>122</v>
      </c>
      <c r="AE8" s="3">
        <v>143</v>
      </c>
      <c r="AF8" s="3">
        <v>130</v>
      </c>
      <c r="AG8" s="3">
        <v>143</v>
      </c>
      <c r="AH8" s="3">
        <v>330</v>
      </c>
      <c r="AI8" s="3">
        <v>265</v>
      </c>
      <c r="AJ8" s="3">
        <v>232</v>
      </c>
      <c r="AK8" s="3">
        <v>265</v>
      </c>
      <c r="AL8" s="3">
        <v>245</v>
      </c>
      <c r="AM8" s="3">
        <v>265</v>
      </c>
    </row>
    <row r="9" spans="1:39" x14ac:dyDescent="0.35">
      <c r="A9" s="1">
        <v>3</v>
      </c>
      <c r="B9" s="1" t="s">
        <v>126</v>
      </c>
      <c r="C9" s="1">
        <v>1</v>
      </c>
      <c r="D9" s="3">
        <v>258</v>
      </c>
      <c r="E9" s="3">
        <v>199</v>
      </c>
      <c r="F9" s="3">
        <v>169</v>
      </c>
      <c r="G9" s="3">
        <v>199</v>
      </c>
      <c r="H9" s="3">
        <v>181</v>
      </c>
      <c r="I9" s="3">
        <v>199</v>
      </c>
      <c r="J9" s="3">
        <v>222</v>
      </c>
      <c r="K9" s="3">
        <v>172</v>
      </c>
      <c r="L9" s="3">
        <v>146</v>
      </c>
      <c r="M9" s="3">
        <v>172</v>
      </c>
      <c r="N9" s="3">
        <v>156</v>
      </c>
      <c r="O9" s="3">
        <v>172</v>
      </c>
      <c r="P9" s="3">
        <v>258</v>
      </c>
      <c r="Q9" s="3">
        <v>199</v>
      </c>
      <c r="R9" s="3">
        <v>169</v>
      </c>
      <c r="S9" s="3">
        <v>199</v>
      </c>
      <c r="T9" s="3">
        <v>181</v>
      </c>
      <c r="U9" s="3">
        <v>199</v>
      </c>
      <c r="V9" s="3">
        <v>339</v>
      </c>
      <c r="W9" s="3">
        <v>261</v>
      </c>
      <c r="X9" s="3">
        <v>222</v>
      </c>
      <c r="Y9" s="3">
        <v>261</v>
      </c>
      <c r="Z9" s="3">
        <v>238</v>
      </c>
      <c r="AA9" s="3">
        <v>261</v>
      </c>
      <c r="AB9" s="3">
        <v>258</v>
      </c>
      <c r="AC9" s="3">
        <v>199</v>
      </c>
      <c r="AD9" s="3">
        <v>169</v>
      </c>
      <c r="AE9" s="3">
        <v>199</v>
      </c>
      <c r="AF9" s="3">
        <v>181</v>
      </c>
      <c r="AG9" s="3">
        <v>199</v>
      </c>
      <c r="AH9" s="3">
        <v>385</v>
      </c>
      <c r="AI9" s="3">
        <v>307</v>
      </c>
      <c r="AJ9" s="3">
        <v>268</v>
      </c>
      <c r="AK9" s="3">
        <v>307</v>
      </c>
      <c r="AL9" s="3">
        <v>284</v>
      </c>
      <c r="AM9" s="3">
        <v>307</v>
      </c>
    </row>
    <row r="10" spans="1:39" x14ac:dyDescent="0.35">
      <c r="A10" s="1">
        <v>4</v>
      </c>
      <c r="B10" s="1" t="s">
        <v>127</v>
      </c>
      <c r="C10" s="1">
        <v>2</v>
      </c>
      <c r="D10" s="3">
        <v>542</v>
      </c>
      <c r="E10" s="3">
        <v>364</v>
      </c>
      <c r="F10" s="3">
        <v>366</v>
      </c>
      <c r="G10" s="3">
        <v>364</v>
      </c>
      <c r="H10" s="3">
        <v>364</v>
      </c>
      <c r="I10" s="3">
        <v>364</v>
      </c>
      <c r="J10" s="3">
        <v>450</v>
      </c>
      <c r="K10" s="3">
        <v>300</v>
      </c>
      <c r="L10" s="3">
        <v>300</v>
      </c>
      <c r="M10" s="3">
        <v>300</v>
      </c>
      <c r="N10" s="3">
        <v>300</v>
      </c>
      <c r="O10" s="3">
        <v>300</v>
      </c>
      <c r="P10" s="3">
        <v>690</v>
      </c>
      <c r="Q10" s="3">
        <v>466</v>
      </c>
      <c r="R10" s="3">
        <v>468</v>
      </c>
      <c r="S10" s="3">
        <v>466</v>
      </c>
      <c r="T10" s="3">
        <v>468</v>
      </c>
      <c r="U10" s="3">
        <v>466</v>
      </c>
      <c r="V10" s="3">
        <v>690</v>
      </c>
      <c r="W10" s="3">
        <v>466</v>
      </c>
      <c r="X10" s="3">
        <v>468</v>
      </c>
      <c r="Y10" s="3">
        <v>466</v>
      </c>
      <c r="Z10" s="3">
        <v>468</v>
      </c>
      <c r="AA10" s="3">
        <v>466</v>
      </c>
      <c r="AB10" s="3">
        <v>542</v>
      </c>
      <c r="AC10" s="3">
        <v>364</v>
      </c>
      <c r="AD10" s="3">
        <v>366</v>
      </c>
      <c r="AE10" s="3">
        <v>364</v>
      </c>
      <c r="AF10" s="3">
        <v>364</v>
      </c>
      <c r="AG10" s="3">
        <v>364</v>
      </c>
      <c r="AH10" s="3">
        <v>690</v>
      </c>
      <c r="AI10" s="3">
        <v>466</v>
      </c>
      <c r="AJ10" s="3">
        <v>468</v>
      </c>
      <c r="AK10" s="3">
        <v>466</v>
      </c>
      <c r="AL10" s="3">
        <v>468</v>
      </c>
      <c r="AM10" s="3">
        <v>466</v>
      </c>
    </row>
    <row r="11" spans="1:39" x14ac:dyDescent="0.35">
      <c r="A11" s="1">
        <v>5</v>
      </c>
      <c r="B11" s="1" t="s">
        <v>102</v>
      </c>
      <c r="C11" s="1">
        <v>4</v>
      </c>
      <c r="D11" s="31">
        <v>870</v>
      </c>
      <c r="E11" s="31">
        <v>621</v>
      </c>
      <c r="F11" s="31">
        <v>621</v>
      </c>
      <c r="G11" s="31">
        <v>621</v>
      </c>
      <c r="H11" s="31">
        <v>621</v>
      </c>
      <c r="I11" s="31">
        <v>621</v>
      </c>
      <c r="J11" s="31">
        <v>870</v>
      </c>
      <c r="K11" s="31">
        <v>621</v>
      </c>
      <c r="L11" s="31">
        <v>621</v>
      </c>
      <c r="M11" s="31">
        <v>621</v>
      </c>
      <c r="N11" s="31">
        <v>621</v>
      </c>
      <c r="O11" s="31">
        <v>621</v>
      </c>
      <c r="P11" s="31">
        <v>870</v>
      </c>
      <c r="Q11" s="31">
        <v>621</v>
      </c>
      <c r="R11" s="31">
        <v>621</v>
      </c>
      <c r="S11" s="31">
        <v>621</v>
      </c>
      <c r="T11" s="31">
        <v>621</v>
      </c>
      <c r="U11" s="31">
        <v>621</v>
      </c>
      <c r="V11" s="31">
        <v>828</v>
      </c>
      <c r="W11" s="31">
        <v>594</v>
      </c>
      <c r="X11" s="31">
        <v>594</v>
      </c>
      <c r="Y11" s="31">
        <v>594</v>
      </c>
      <c r="Z11" s="31">
        <v>594</v>
      </c>
      <c r="AA11" s="31">
        <v>594</v>
      </c>
      <c r="AB11" s="31">
        <v>920</v>
      </c>
      <c r="AC11" s="31">
        <v>663</v>
      </c>
      <c r="AD11" s="31">
        <v>663</v>
      </c>
      <c r="AE11" s="31">
        <v>663</v>
      </c>
      <c r="AF11" s="31">
        <v>663</v>
      </c>
      <c r="AG11" s="31">
        <v>663</v>
      </c>
      <c r="AH11" s="3">
        <v>1362</v>
      </c>
      <c r="AI11" s="3">
        <v>971</v>
      </c>
      <c r="AJ11" s="3">
        <v>971</v>
      </c>
      <c r="AK11" s="3">
        <v>971</v>
      </c>
      <c r="AL11" s="3">
        <v>971</v>
      </c>
      <c r="AM11" s="3">
        <v>971</v>
      </c>
    </row>
    <row r="12" spans="1:39" x14ac:dyDescent="0.35">
      <c r="A12" s="1"/>
      <c r="B12" s="12" t="s">
        <v>103</v>
      </c>
      <c r="C12" s="1"/>
      <c r="D12" s="3">
        <f>SUM(D7:D11)</f>
        <v>2236</v>
      </c>
      <c r="E12" s="3">
        <f t="shared" ref="E12:AG12" si="0">SUM(E7:E11)</f>
        <v>1615</v>
      </c>
      <c r="F12" s="3">
        <f t="shared" si="0"/>
        <v>1546</v>
      </c>
      <c r="G12" s="3">
        <f t="shared" si="0"/>
        <v>1615</v>
      </c>
      <c r="H12" s="3">
        <f t="shared" si="0"/>
        <v>1572</v>
      </c>
      <c r="I12" s="3">
        <f t="shared" si="0"/>
        <v>1615</v>
      </c>
      <c r="J12" s="3">
        <f t="shared" si="0"/>
        <v>2057</v>
      </c>
      <c r="K12" s="3">
        <f t="shared" si="0"/>
        <v>1485</v>
      </c>
      <c r="L12" s="3">
        <f t="shared" si="0"/>
        <v>1423</v>
      </c>
      <c r="M12" s="3">
        <f t="shared" si="0"/>
        <v>1485</v>
      </c>
      <c r="N12" s="3">
        <f t="shared" si="0"/>
        <v>1447</v>
      </c>
      <c r="O12" s="3">
        <f t="shared" si="0"/>
        <v>1485</v>
      </c>
      <c r="P12" s="3">
        <f t="shared" si="0"/>
        <v>2384</v>
      </c>
      <c r="Q12" s="3">
        <f t="shared" si="0"/>
        <v>1717</v>
      </c>
      <c r="R12" s="3">
        <f t="shared" si="0"/>
        <v>1648</v>
      </c>
      <c r="S12" s="3">
        <f t="shared" si="0"/>
        <v>1717</v>
      </c>
      <c r="T12" s="3">
        <f t="shared" si="0"/>
        <v>1676</v>
      </c>
      <c r="U12" s="3">
        <f t="shared" si="0"/>
        <v>1717</v>
      </c>
      <c r="V12" s="3">
        <f t="shared" si="0"/>
        <v>2969</v>
      </c>
      <c r="W12" s="3">
        <f t="shared" si="0"/>
        <v>2138</v>
      </c>
      <c r="X12" s="3">
        <f t="shared" si="0"/>
        <v>2018</v>
      </c>
      <c r="Y12" s="3">
        <f t="shared" si="0"/>
        <v>2138</v>
      </c>
      <c r="Z12" s="3">
        <f t="shared" si="0"/>
        <v>2067</v>
      </c>
      <c r="AA12" s="3">
        <f t="shared" si="0"/>
        <v>2138</v>
      </c>
      <c r="AB12" s="3">
        <f t="shared" si="0"/>
        <v>2286</v>
      </c>
      <c r="AC12" s="3">
        <f t="shared" si="0"/>
        <v>1657</v>
      </c>
      <c r="AD12" s="3">
        <f t="shared" si="0"/>
        <v>1588</v>
      </c>
      <c r="AE12" s="3">
        <f t="shared" si="0"/>
        <v>1657</v>
      </c>
      <c r="AF12" s="3">
        <f t="shared" si="0"/>
        <v>1614</v>
      </c>
      <c r="AG12" s="3">
        <f t="shared" si="0"/>
        <v>1657</v>
      </c>
      <c r="AH12" s="3">
        <f t="shared" ref="AH12" si="1">SUM(AH7:AH11)</f>
        <v>3469</v>
      </c>
      <c r="AI12" s="3">
        <f t="shared" ref="AI12" si="2">SUM(AI7:AI11)</f>
        <v>2561</v>
      </c>
      <c r="AJ12" s="3">
        <f t="shared" ref="AJ12" si="3">SUM(AJ7:AJ11)</f>
        <v>2457</v>
      </c>
      <c r="AK12" s="3">
        <f t="shared" ref="AK12" si="4">SUM(AK7:AK11)</f>
        <v>2561</v>
      </c>
      <c r="AL12" s="3">
        <f t="shared" ref="AL12" si="5">SUM(AL7:AL11)</f>
        <v>2500</v>
      </c>
      <c r="AM12" s="3">
        <f t="shared" ref="AM12" si="6">SUM(AM7:AM11)</f>
        <v>2561</v>
      </c>
    </row>
    <row r="13" spans="1:39" x14ac:dyDescent="0.35">
      <c r="A13" s="1"/>
      <c r="B13" s="12" t="s">
        <v>15</v>
      </c>
      <c r="C13" s="1"/>
      <c r="D13" s="13">
        <v>2733</v>
      </c>
      <c r="E13" s="13">
        <v>1788</v>
      </c>
      <c r="F13" s="13">
        <v>1478</v>
      </c>
      <c r="G13" s="13">
        <v>1313</v>
      </c>
      <c r="H13" s="13">
        <v>1218</v>
      </c>
      <c r="I13" s="13">
        <v>1163</v>
      </c>
      <c r="J13" s="13">
        <v>2733</v>
      </c>
      <c r="K13" s="13">
        <v>1788</v>
      </c>
      <c r="L13" s="13">
        <v>1478</v>
      </c>
      <c r="M13" s="13">
        <v>1313</v>
      </c>
      <c r="N13" s="13">
        <v>1218</v>
      </c>
      <c r="O13" s="13">
        <v>1163</v>
      </c>
      <c r="P13" s="13">
        <v>2733</v>
      </c>
      <c r="Q13" s="13">
        <v>1788</v>
      </c>
      <c r="R13" s="13">
        <v>1478</v>
      </c>
      <c r="S13" s="13">
        <v>1313</v>
      </c>
      <c r="T13" s="13">
        <v>1218</v>
      </c>
      <c r="U13" s="13">
        <v>1163</v>
      </c>
      <c r="V13" s="13">
        <v>2933</v>
      </c>
      <c r="W13" s="13">
        <v>1988</v>
      </c>
      <c r="X13" s="13">
        <v>1678</v>
      </c>
      <c r="Y13" s="13">
        <v>1513</v>
      </c>
      <c r="Z13" s="13">
        <v>1418</v>
      </c>
      <c r="AA13" s="13">
        <v>1363</v>
      </c>
      <c r="AB13" s="13">
        <v>2933</v>
      </c>
      <c r="AC13" s="13">
        <v>1988</v>
      </c>
      <c r="AD13" s="13">
        <v>1678</v>
      </c>
      <c r="AE13" s="13">
        <v>1513</v>
      </c>
      <c r="AF13" s="13">
        <v>1418</v>
      </c>
      <c r="AG13" s="13">
        <v>1363</v>
      </c>
      <c r="AH13" s="13">
        <v>2933</v>
      </c>
      <c r="AI13" s="13">
        <v>1988</v>
      </c>
      <c r="AJ13" s="13">
        <v>1678</v>
      </c>
      <c r="AK13" s="13">
        <v>1513</v>
      </c>
      <c r="AL13" s="13">
        <v>1418</v>
      </c>
      <c r="AM13" s="13">
        <v>1363</v>
      </c>
    </row>
    <row r="14" spans="1:39" x14ac:dyDescent="0.35">
      <c r="A14" s="1"/>
      <c r="B14" s="14" t="s">
        <v>14</v>
      </c>
      <c r="C14" s="1"/>
      <c r="D14" s="13">
        <f t="shared" ref="D14:AM14" si="7">SUM(D12:D13)</f>
        <v>4969</v>
      </c>
      <c r="E14" s="13">
        <f t="shared" si="7"/>
        <v>3403</v>
      </c>
      <c r="F14" s="13">
        <f t="shared" si="7"/>
        <v>3024</v>
      </c>
      <c r="G14" s="13">
        <f t="shared" si="7"/>
        <v>2928</v>
      </c>
      <c r="H14" s="13">
        <f t="shared" si="7"/>
        <v>2790</v>
      </c>
      <c r="I14" s="13">
        <f t="shared" si="7"/>
        <v>2778</v>
      </c>
      <c r="J14" s="13">
        <f t="shared" si="7"/>
        <v>4790</v>
      </c>
      <c r="K14" s="13">
        <f t="shared" si="7"/>
        <v>3273</v>
      </c>
      <c r="L14" s="13">
        <f t="shared" si="7"/>
        <v>2901</v>
      </c>
      <c r="M14" s="13">
        <f t="shared" si="7"/>
        <v>2798</v>
      </c>
      <c r="N14" s="13">
        <f t="shared" si="7"/>
        <v>2665</v>
      </c>
      <c r="O14" s="13">
        <f t="shared" si="7"/>
        <v>2648</v>
      </c>
      <c r="P14" s="13">
        <f t="shared" si="7"/>
        <v>5117</v>
      </c>
      <c r="Q14" s="13">
        <f t="shared" si="7"/>
        <v>3505</v>
      </c>
      <c r="R14" s="13">
        <f t="shared" si="7"/>
        <v>3126</v>
      </c>
      <c r="S14" s="13">
        <f t="shared" si="7"/>
        <v>3030</v>
      </c>
      <c r="T14" s="13">
        <f t="shared" si="7"/>
        <v>2894</v>
      </c>
      <c r="U14" s="13">
        <f t="shared" si="7"/>
        <v>2880</v>
      </c>
      <c r="V14" s="13">
        <f t="shared" si="7"/>
        <v>5902</v>
      </c>
      <c r="W14" s="13">
        <f t="shared" si="7"/>
        <v>4126</v>
      </c>
      <c r="X14" s="13">
        <f t="shared" si="7"/>
        <v>3696</v>
      </c>
      <c r="Y14" s="13">
        <f t="shared" si="7"/>
        <v>3651</v>
      </c>
      <c r="Z14" s="13">
        <f t="shared" si="7"/>
        <v>3485</v>
      </c>
      <c r="AA14" s="13">
        <f t="shared" si="7"/>
        <v>3501</v>
      </c>
      <c r="AB14" s="13">
        <f t="shared" si="7"/>
        <v>5219</v>
      </c>
      <c r="AC14" s="13">
        <f t="shared" si="7"/>
        <v>3645</v>
      </c>
      <c r="AD14" s="13">
        <f t="shared" si="7"/>
        <v>3266</v>
      </c>
      <c r="AE14" s="13">
        <f t="shared" si="7"/>
        <v>3170</v>
      </c>
      <c r="AF14" s="13">
        <f t="shared" si="7"/>
        <v>3032</v>
      </c>
      <c r="AG14" s="13">
        <f t="shared" si="7"/>
        <v>3020</v>
      </c>
      <c r="AH14" s="13">
        <f t="shared" si="7"/>
        <v>6402</v>
      </c>
      <c r="AI14" s="13">
        <f t="shared" si="7"/>
        <v>4549</v>
      </c>
      <c r="AJ14" s="13">
        <f t="shared" si="7"/>
        <v>4135</v>
      </c>
      <c r="AK14" s="13">
        <f t="shared" si="7"/>
        <v>4074</v>
      </c>
      <c r="AL14" s="13">
        <f t="shared" si="7"/>
        <v>3918</v>
      </c>
      <c r="AM14" s="13">
        <f t="shared" si="7"/>
        <v>3924</v>
      </c>
    </row>
    <row r="15" spans="1:39" x14ac:dyDescent="0.35">
      <c r="B15" s="15"/>
    </row>
    <row r="16" spans="1:39" x14ac:dyDescent="0.35">
      <c r="D16" s="16" t="s">
        <v>16</v>
      </c>
    </row>
    <row r="17" spans="1:29" x14ac:dyDescent="0.35">
      <c r="B17" s="16" t="s">
        <v>17</v>
      </c>
      <c r="O17" s="16" t="s">
        <v>18</v>
      </c>
      <c r="P17" s="16"/>
      <c r="V17" s="16"/>
    </row>
    <row r="18" spans="1:29" x14ac:dyDescent="0.35">
      <c r="A18" s="1" t="s">
        <v>10</v>
      </c>
      <c r="B18" s="1" t="s">
        <v>19</v>
      </c>
      <c r="C18" s="1">
        <v>1</v>
      </c>
      <c r="D18" s="1">
        <v>2</v>
      </c>
      <c r="E18" s="1">
        <v>3</v>
      </c>
      <c r="F18" s="1">
        <v>4</v>
      </c>
      <c r="G18" s="1">
        <v>5</v>
      </c>
      <c r="H18" s="1">
        <v>6</v>
      </c>
      <c r="N18" s="1" t="s">
        <v>10</v>
      </c>
      <c r="O18" s="1" t="s">
        <v>19</v>
      </c>
      <c r="P18" s="1"/>
      <c r="Q18" s="1"/>
      <c r="R18" s="1"/>
      <c r="S18" s="1"/>
      <c r="T18" s="1"/>
      <c r="U18" s="1"/>
    </row>
    <row r="19" spans="1:29" x14ac:dyDescent="0.35">
      <c r="A19" s="1">
        <v>1</v>
      </c>
      <c r="B19" s="1" t="s">
        <v>104</v>
      </c>
      <c r="C19" s="1">
        <v>180</v>
      </c>
      <c r="D19" s="1">
        <v>180</v>
      </c>
      <c r="E19" s="1">
        <v>180</v>
      </c>
      <c r="F19" s="1">
        <v>180</v>
      </c>
      <c r="G19" s="1">
        <v>180</v>
      </c>
      <c r="H19" s="1">
        <v>180</v>
      </c>
      <c r="N19" s="1">
        <v>1</v>
      </c>
      <c r="O19" s="1" t="s">
        <v>104</v>
      </c>
      <c r="P19" s="1">
        <v>180</v>
      </c>
      <c r="Q19" s="1">
        <v>180</v>
      </c>
      <c r="R19" s="1">
        <v>180</v>
      </c>
      <c r="S19" s="1">
        <v>180</v>
      </c>
      <c r="T19" s="1">
        <v>180</v>
      </c>
      <c r="U19" s="1">
        <v>180</v>
      </c>
      <c r="AC19" t="s">
        <v>105</v>
      </c>
    </row>
    <row r="20" spans="1:29" x14ac:dyDescent="0.35">
      <c r="A20" s="1">
        <v>2</v>
      </c>
      <c r="B20" s="1" t="s">
        <v>91</v>
      </c>
      <c r="C20" s="1">
        <v>1750</v>
      </c>
      <c r="D20" s="1">
        <v>875</v>
      </c>
      <c r="E20" s="1">
        <v>585</v>
      </c>
      <c r="F20" s="1">
        <v>440</v>
      </c>
      <c r="G20" s="1">
        <v>350</v>
      </c>
      <c r="H20" s="1">
        <v>295</v>
      </c>
      <c r="K20" t="s">
        <v>105</v>
      </c>
      <c r="N20" s="1">
        <v>2</v>
      </c>
      <c r="O20" s="1" t="s">
        <v>91</v>
      </c>
      <c r="P20" s="1">
        <v>1750</v>
      </c>
      <c r="Q20" s="1">
        <v>875</v>
      </c>
      <c r="R20" s="1">
        <v>585</v>
      </c>
      <c r="S20" s="1">
        <v>440</v>
      </c>
      <c r="T20" s="1">
        <v>350</v>
      </c>
      <c r="U20" s="1">
        <v>295</v>
      </c>
    </row>
    <row r="21" spans="1:29" x14ac:dyDescent="0.35">
      <c r="A21" s="1">
        <v>3</v>
      </c>
      <c r="B21" s="1" t="s">
        <v>129</v>
      </c>
      <c r="C21" s="1">
        <v>200</v>
      </c>
      <c r="D21" s="1">
        <v>200</v>
      </c>
      <c r="E21" s="1">
        <v>200</v>
      </c>
      <c r="F21" s="1">
        <v>200</v>
      </c>
      <c r="G21" s="1">
        <v>200</v>
      </c>
      <c r="H21" s="1">
        <v>200</v>
      </c>
      <c r="N21" s="1"/>
      <c r="O21" s="1" t="s">
        <v>129</v>
      </c>
      <c r="P21" s="1">
        <v>400</v>
      </c>
      <c r="Q21" s="1">
        <v>400</v>
      </c>
      <c r="R21" s="1">
        <v>400</v>
      </c>
      <c r="S21" s="1">
        <v>400</v>
      </c>
      <c r="T21" s="1">
        <v>400</v>
      </c>
      <c r="U21" s="1">
        <v>400</v>
      </c>
    </row>
    <row r="22" spans="1:29" x14ac:dyDescent="0.35">
      <c r="A22" s="1">
        <v>4</v>
      </c>
      <c r="B22" s="1" t="s">
        <v>35</v>
      </c>
      <c r="C22" s="1">
        <v>20</v>
      </c>
      <c r="D22" s="1">
        <v>20</v>
      </c>
      <c r="E22" s="1">
        <v>20</v>
      </c>
      <c r="F22" s="1">
        <v>20</v>
      </c>
      <c r="G22" s="1">
        <v>20</v>
      </c>
      <c r="H22" s="1">
        <v>20</v>
      </c>
      <c r="N22" s="1"/>
      <c r="O22" s="1" t="s">
        <v>35</v>
      </c>
      <c r="P22" s="1">
        <v>20</v>
      </c>
      <c r="Q22" s="1">
        <v>20</v>
      </c>
      <c r="R22" s="1">
        <v>20</v>
      </c>
      <c r="S22" s="1">
        <v>20</v>
      </c>
      <c r="T22" s="1">
        <v>20</v>
      </c>
      <c r="U22" s="1">
        <v>20</v>
      </c>
    </row>
    <row r="23" spans="1:29" x14ac:dyDescent="0.35">
      <c r="A23" s="1">
        <v>5</v>
      </c>
      <c r="B23" s="1" t="s">
        <v>114</v>
      </c>
      <c r="C23" s="1">
        <v>80</v>
      </c>
      <c r="D23" s="1">
        <v>40</v>
      </c>
      <c r="E23" s="1">
        <v>30</v>
      </c>
      <c r="F23" s="1">
        <v>20</v>
      </c>
      <c r="G23" s="1">
        <v>15</v>
      </c>
      <c r="H23" s="1">
        <v>15</v>
      </c>
      <c r="N23" s="1"/>
      <c r="O23" s="1" t="s">
        <v>114</v>
      </c>
      <c r="P23" s="1">
        <v>80</v>
      </c>
      <c r="Q23" s="1">
        <v>40</v>
      </c>
      <c r="R23" s="1">
        <v>30</v>
      </c>
      <c r="S23" s="1">
        <v>20</v>
      </c>
      <c r="T23" s="1">
        <v>15</v>
      </c>
      <c r="U23" s="1">
        <v>15</v>
      </c>
    </row>
    <row r="24" spans="1:29" x14ac:dyDescent="0.35">
      <c r="A24" s="1">
        <v>6</v>
      </c>
      <c r="B24" s="1" t="s">
        <v>107</v>
      </c>
      <c r="C24" s="29">
        <v>50</v>
      </c>
      <c r="D24" s="29">
        <v>30</v>
      </c>
      <c r="E24" s="29">
        <v>20</v>
      </c>
      <c r="F24" s="29">
        <v>15</v>
      </c>
      <c r="G24" s="29">
        <v>15</v>
      </c>
      <c r="H24" s="29">
        <v>15</v>
      </c>
      <c r="N24" s="1"/>
      <c r="O24" s="1" t="s">
        <v>107</v>
      </c>
      <c r="P24" s="29">
        <v>50</v>
      </c>
      <c r="Q24" s="29">
        <v>30</v>
      </c>
      <c r="R24" s="29">
        <v>20</v>
      </c>
      <c r="S24" s="29">
        <v>15</v>
      </c>
      <c r="T24" s="29">
        <v>15</v>
      </c>
      <c r="U24" s="29">
        <v>15</v>
      </c>
    </row>
    <row r="25" spans="1:29" x14ac:dyDescent="0.35">
      <c r="A25" s="1">
        <v>7</v>
      </c>
      <c r="B25" s="1" t="s">
        <v>108</v>
      </c>
      <c r="C25" s="1">
        <v>110</v>
      </c>
      <c r="D25" s="1">
        <v>110</v>
      </c>
      <c r="E25" s="1">
        <v>110</v>
      </c>
      <c r="F25" s="1">
        <v>110</v>
      </c>
      <c r="G25" s="1">
        <v>110</v>
      </c>
      <c r="H25" s="1">
        <v>110</v>
      </c>
      <c r="N25" s="1"/>
      <c r="O25" s="1" t="s">
        <v>108</v>
      </c>
      <c r="P25" s="1">
        <v>110</v>
      </c>
      <c r="Q25" s="1">
        <v>110</v>
      </c>
      <c r="R25" s="1">
        <v>110</v>
      </c>
      <c r="S25" s="1">
        <v>110</v>
      </c>
      <c r="T25" s="1">
        <v>110</v>
      </c>
      <c r="U25" s="1">
        <v>110</v>
      </c>
    </row>
    <row r="26" spans="1:29" x14ac:dyDescent="0.35">
      <c r="A26" s="1">
        <v>8</v>
      </c>
      <c r="B26" s="1" t="s">
        <v>109</v>
      </c>
      <c r="C26" s="1">
        <v>20</v>
      </c>
      <c r="D26" s="1">
        <v>20</v>
      </c>
      <c r="E26" s="1">
        <v>20</v>
      </c>
      <c r="F26" s="1">
        <v>20</v>
      </c>
      <c r="G26" s="1">
        <v>20</v>
      </c>
      <c r="H26" s="1">
        <v>20</v>
      </c>
      <c r="N26" s="1"/>
      <c r="O26" s="1" t="s">
        <v>109</v>
      </c>
      <c r="P26" s="1">
        <v>20</v>
      </c>
      <c r="Q26" s="1">
        <v>20</v>
      </c>
      <c r="R26" s="1">
        <v>20</v>
      </c>
      <c r="S26" s="1">
        <v>20</v>
      </c>
      <c r="T26" s="1">
        <v>20</v>
      </c>
      <c r="U26" s="1">
        <v>20</v>
      </c>
    </row>
    <row r="27" spans="1:29" x14ac:dyDescent="0.35">
      <c r="A27" s="1"/>
      <c r="B27" s="1" t="s">
        <v>133</v>
      </c>
      <c r="C27" s="1">
        <v>140</v>
      </c>
      <c r="D27" s="1">
        <v>140</v>
      </c>
      <c r="E27" s="1">
        <v>140</v>
      </c>
      <c r="F27" s="1">
        <v>140</v>
      </c>
      <c r="G27" s="1">
        <v>140</v>
      </c>
      <c r="H27" s="1">
        <v>140</v>
      </c>
      <c r="N27" s="1"/>
      <c r="O27" s="1" t="s">
        <v>133</v>
      </c>
      <c r="P27" s="1">
        <v>140</v>
      </c>
      <c r="Q27" s="1">
        <v>140</v>
      </c>
      <c r="R27" s="1">
        <v>140</v>
      </c>
      <c r="S27" s="1">
        <v>140</v>
      </c>
      <c r="T27" s="1">
        <v>140</v>
      </c>
      <c r="U27" s="1">
        <v>140</v>
      </c>
    </row>
    <row r="28" spans="1:29" x14ac:dyDescent="0.35">
      <c r="A28" s="1"/>
      <c r="B28" s="1" t="s">
        <v>130</v>
      </c>
      <c r="C28" s="1">
        <v>90</v>
      </c>
      <c r="D28" s="1">
        <v>90</v>
      </c>
      <c r="E28" s="1">
        <v>90</v>
      </c>
      <c r="F28" s="1">
        <v>90</v>
      </c>
      <c r="G28" s="1">
        <v>90</v>
      </c>
      <c r="H28" s="1">
        <v>90</v>
      </c>
      <c r="N28" s="1"/>
      <c r="O28" s="1" t="s">
        <v>130</v>
      </c>
      <c r="P28" s="1">
        <v>90</v>
      </c>
      <c r="Q28" s="1">
        <v>90</v>
      </c>
      <c r="R28" s="1">
        <v>90</v>
      </c>
      <c r="S28" s="1">
        <v>90</v>
      </c>
      <c r="T28" s="1">
        <v>90</v>
      </c>
      <c r="U28" s="1">
        <v>90</v>
      </c>
    </row>
    <row r="29" spans="1:29" x14ac:dyDescent="0.35">
      <c r="A29" s="1"/>
      <c r="B29" s="1" t="s">
        <v>92</v>
      </c>
      <c r="C29" s="1">
        <v>30</v>
      </c>
      <c r="D29" s="1">
        <v>20</v>
      </c>
      <c r="E29" s="1">
        <v>20</v>
      </c>
      <c r="F29" s="1">
        <v>15</v>
      </c>
      <c r="G29" s="1">
        <v>15</v>
      </c>
      <c r="H29" s="1">
        <v>15</v>
      </c>
      <c r="N29" s="1"/>
      <c r="O29" s="1" t="s">
        <v>92</v>
      </c>
      <c r="P29" s="1">
        <v>30</v>
      </c>
      <c r="Q29" s="1">
        <v>20</v>
      </c>
      <c r="R29" s="1">
        <v>20</v>
      </c>
      <c r="S29" s="1">
        <v>15</v>
      </c>
      <c r="T29" s="1">
        <v>15</v>
      </c>
      <c r="U29" s="1">
        <v>15</v>
      </c>
    </row>
    <row r="30" spans="1:29" x14ac:dyDescent="0.35">
      <c r="A30" s="1"/>
      <c r="B30" s="1" t="s">
        <v>94</v>
      </c>
      <c r="C30" s="1">
        <v>33</v>
      </c>
      <c r="D30" s="1">
        <v>33</v>
      </c>
      <c r="E30" s="1">
        <v>33</v>
      </c>
      <c r="F30" s="1">
        <v>33</v>
      </c>
      <c r="G30" s="1">
        <v>33</v>
      </c>
      <c r="H30" s="1">
        <v>33</v>
      </c>
      <c r="N30" s="1"/>
      <c r="O30" s="1" t="s">
        <v>94</v>
      </c>
      <c r="P30" s="1">
        <v>33</v>
      </c>
      <c r="Q30" s="1">
        <v>33</v>
      </c>
      <c r="R30" s="1">
        <v>33</v>
      </c>
      <c r="S30" s="1">
        <v>33</v>
      </c>
      <c r="T30" s="1">
        <v>33</v>
      </c>
      <c r="U30" s="1">
        <v>33</v>
      </c>
    </row>
    <row r="31" spans="1:29" x14ac:dyDescent="0.35">
      <c r="A31" s="1">
        <v>9</v>
      </c>
      <c r="B31" s="1" t="s">
        <v>110</v>
      </c>
      <c r="C31" s="1">
        <v>30</v>
      </c>
      <c r="D31" s="1">
        <v>30</v>
      </c>
      <c r="E31" s="1">
        <v>30</v>
      </c>
      <c r="F31" s="1">
        <v>30</v>
      </c>
      <c r="G31" s="1">
        <v>30</v>
      </c>
      <c r="H31" s="1">
        <v>30</v>
      </c>
      <c r="N31" s="1"/>
      <c r="O31" s="1" t="s">
        <v>110</v>
      </c>
      <c r="P31" s="1">
        <v>30</v>
      </c>
      <c r="Q31" s="1">
        <v>30</v>
      </c>
      <c r="R31" s="1">
        <v>30</v>
      </c>
      <c r="S31" s="1">
        <v>30</v>
      </c>
      <c r="T31" s="1">
        <v>30</v>
      </c>
      <c r="U31" s="1">
        <v>30</v>
      </c>
    </row>
    <row r="32" spans="1:29" x14ac:dyDescent="0.35">
      <c r="A32" s="1"/>
      <c r="B32" s="12" t="s">
        <v>14</v>
      </c>
      <c r="C32" s="13">
        <f t="shared" ref="C32:H32" si="8">SUM(C19:C31)</f>
        <v>2733</v>
      </c>
      <c r="D32" s="13">
        <f t="shared" si="8"/>
        <v>1788</v>
      </c>
      <c r="E32" s="13">
        <f t="shared" si="8"/>
        <v>1478</v>
      </c>
      <c r="F32" s="13">
        <f t="shared" si="8"/>
        <v>1313</v>
      </c>
      <c r="G32" s="13">
        <f t="shared" si="8"/>
        <v>1218</v>
      </c>
      <c r="H32" s="13">
        <f t="shared" si="8"/>
        <v>1163</v>
      </c>
      <c r="N32" s="1"/>
      <c r="O32" s="12" t="s">
        <v>14</v>
      </c>
      <c r="P32" s="18">
        <f t="shared" ref="P32:U32" si="9">SUM(P19:P31)</f>
        <v>2933</v>
      </c>
      <c r="Q32" s="18">
        <f t="shared" si="9"/>
        <v>1988</v>
      </c>
      <c r="R32" s="18">
        <f t="shared" si="9"/>
        <v>1678</v>
      </c>
      <c r="S32" s="18">
        <f t="shared" si="9"/>
        <v>1513</v>
      </c>
      <c r="T32" s="18">
        <f t="shared" si="9"/>
        <v>1418</v>
      </c>
      <c r="U32" s="18">
        <f t="shared" si="9"/>
        <v>1363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2:AO33"/>
  <sheetViews>
    <sheetView tabSelected="1" topLeftCell="A4" workbookViewId="0">
      <selection activeCell="M21" sqref="M21"/>
    </sheetView>
  </sheetViews>
  <sheetFormatPr defaultRowHeight="14.5" x14ac:dyDescent="0.35"/>
  <cols>
    <col min="4" max="4" width="20.7265625" customWidth="1"/>
  </cols>
  <sheetData>
    <row r="2" spans="3:41" x14ac:dyDescent="0.35">
      <c r="D2" s="16"/>
      <c r="E2" s="16" t="s">
        <v>137</v>
      </c>
      <c r="F2" s="16"/>
      <c r="G2" s="16"/>
      <c r="H2" s="16"/>
    </row>
    <row r="5" spans="3:41" x14ac:dyDescent="0.35"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7" spans="3:41" x14ac:dyDescent="0.35">
      <c r="C7" s="1"/>
      <c r="D7" s="1"/>
      <c r="E7" s="1"/>
      <c r="F7" s="2" t="s">
        <v>100</v>
      </c>
      <c r="G7" s="3"/>
      <c r="H7" s="3"/>
      <c r="I7" s="3"/>
      <c r="J7" s="3"/>
      <c r="K7" s="3"/>
      <c r="L7" s="4" t="s">
        <v>1</v>
      </c>
      <c r="M7" s="5"/>
      <c r="N7" s="5"/>
      <c r="O7" s="5"/>
      <c r="P7" s="5"/>
      <c r="Q7" s="5"/>
      <c r="R7" s="6" t="s">
        <v>131</v>
      </c>
      <c r="S7" s="7"/>
      <c r="T7" s="7"/>
      <c r="U7" s="7"/>
      <c r="V7" s="7"/>
      <c r="W7" s="7"/>
      <c r="X7" s="2" t="s">
        <v>68</v>
      </c>
      <c r="Y7" s="3"/>
      <c r="Z7" s="3"/>
      <c r="AA7" s="3"/>
      <c r="AB7" s="3"/>
      <c r="AC7" s="3"/>
      <c r="AD7" s="8" t="s">
        <v>90</v>
      </c>
      <c r="AE7" s="9"/>
      <c r="AF7" s="9"/>
      <c r="AG7" s="9"/>
      <c r="AH7" s="9"/>
      <c r="AI7" s="9"/>
      <c r="AJ7" s="33" t="s">
        <v>4</v>
      </c>
      <c r="AK7" s="34"/>
      <c r="AL7" s="34"/>
      <c r="AM7" s="34"/>
      <c r="AN7" s="34"/>
      <c r="AO7" s="34"/>
    </row>
    <row r="8" spans="3:41" x14ac:dyDescent="0.35">
      <c r="C8" s="1"/>
      <c r="D8" s="1"/>
      <c r="E8" s="1"/>
      <c r="F8" s="3" t="s">
        <v>5</v>
      </c>
      <c r="G8" s="3"/>
      <c r="H8" s="3"/>
      <c r="I8" s="3"/>
      <c r="J8" s="3"/>
      <c r="K8" s="3"/>
      <c r="L8" s="5" t="s">
        <v>6</v>
      </c>
      <c r="M8" s="5"/>
      <c r="N8" s="5"/>
      <c r="O8" s="5"/>
      <c r="P8" s="5"/>
      <c r="Q8" s="5"/>
      <c r="R8" s="7" t="s">
        <v>132</v>
      </c>
      <c r="S8" s="7"/>
      <c r="T8" s="7"/>
      <c r="U8" s="7"/>
      <c r="V8" s="7"/>
      <c r="W8" s="7"/>
      <c r="X8" s="3" t="s">
        <v>136</v>
      </c>
      <c r="Y8" s="3"/>
      <c r="Z8" s="3"/>
      <c r="AA8" s="3"/>
      <c r="AB8" s="3"/>
      <c r="AC8" s="3"/>
      <c r="AD8" s="10" t="s">
        <v>135</v>
      </c>
      <c r="AE8" s="11"/>
      <c r="AF8" s="11"/>
      <c r="AG8" s="11"/>
      <c r="AH8" s="11"/>
      <c r="AI8" s="11"/>
      <c r="AJ8" s="25" t="s">
        <v>134</v>
      </c>
      <c r="AK8" s="25"/>
      <c r="AL8" s="25"/>
      <c r="AM8" s="25"/>
      <c r="AN8" s="25"/>
      <c r="AO8" s="25"/>
    </row>
    <row r="9" spans="3:41" x14ac:dyDescent="0.35">
      <c r="C9" s="1" t="s">
        <v>10</v>
      </c>
      <c r="D9" s="1" t="s">
        <v>11</v>
      </c>
      <c r="E9" s="1" t="s">
        <v>12</v>
      </c>
      <c r="F9" s="3">
        <v>1</v>
      </c>
      <c r="G9" s="3">
        <v>2</v>
      </c>
      <c r="H9" s="3">
        <v>3</v>
      </c>
      <c r="I9" s="3">
        <v>4</v>
      </c>
      <c r="J9" s="3">
        <v>5</v>
      </c>
      <c r="K9" s="3">
        <v>6</v>
      </c>
      <c r="L9" s="40">
        <v>1</v>
      </c>
      <c r="M9" s="40">
        <v>2</v>
      </c>
      <c r="N9" s="40">
        <v>3</v>
      </c>
      <c r="O9" s="40">
        <v>4</v>
      </c>
      <c r="P9" s="40">
        <v>5</v>
      </c>
      <c r="Q9" s="40">
        <v>6</v>
      </c>
      <c r="R9" s="7">
        <v>1</v>
      </c>
      <c r="S9" s="7">
        <v>2</v>
      </c>
      <c r="T9" s="7">
        <v>3</v>
      </c>
      <c r="U9" s="7">
        <v>4</v>
      </c>
      <c r="V9" s="7">
        <v>5</v>
      </c>
      <c r="W9" s="7">
        <v>6</v>
      </c>
      <c r="X9" s="3">
        <v>1</v>
      </c>
      <c r="Y9" s="3">
        <v>2</v>
      </c>
      <c r="Z9" s="3">
        <v>3</v>
      </c>
      <c r="AA9" s="3">
        <v>4</v>
      </c>
      <c r="AB9" s="3">
        <v>5</v>
      </c>
      <c r="AC9" s="3">
        <v>6</v>
      </c>
      <c r="AD9" s="11">
        <v>1</v>
      </c>
      <c r="AE9" s="11">
        <v>2</v>
      </c>
      <c r="AF9" s="11">
        <v>3</v>
      </c>
      <c r="AG9" s="11">
        <v>4</v>
      </c>
      <c r="AH9" s="11">
        <v>5</v>
      </c>
      <c r="AI9" s="11">
        <v>6</v>
      </c>
      <c r="AJ9" s="34">
        <v>1</v>
      </c>
      <c r="AK9" s="34">
        <v>2</v>
      </c>
      <c r="AL9" s="34">
        <v>3</v>
      </c>
      <c r="AM9" s="34">
        <v>4</v>
      </c>
      <c r="AN9" s="34">
        <v>5</v>
      </c>
      <c r="AO9" s="34">
        <v>6</v>
      </c>
    </row>
    <row r="10" spans="3:41" x14ac:dyDescent="0.35">
      <c r="C10" s="1">
        <v>1</v>
      </c>
      <c r="D10" s="1" t="s">
        <v>79</v>
      </c>
      <c r="E10" s="1">
        <v>2</v>
      </c>
      <c r="F10" s="3">
        <v>380</v>
      </c>
      <c r="G10" s="3">
        <v>288</v>
      </c>
      <c r="H10" s="3">
        <v>268</v>
      </c>
      <c r="I10" s="3">
        <v>288</v>
      </c>
      <c r="J10" s="3">
        <v>276</v>
      </c>
      <c r="K10" s="3">
        <v>288</v>
      </c>
      <c r="L10" s="40">
        <v>380</v>
      </c>
      <c r="M10" s="40">
        <v>288</v>
      </c>
      <c r="N10" s="40">
        <v>268</v>
      </c>
      <c r="O10" s="40">
        <v>288</v>
      </c>
      <c r="P10" s="40">
        <v>276</v>
      </c>
      <c r="Q10" s="40">
        <v>288</v>
      </c>
      <c r="R10" s="3">
        <v>380</v>
      </c>
      <c r="S10" s="3">
        <v>288</v>
      </c>
      <c r="T10" s="3">
        <v>268</v>
      </c>
      <c r="U10" s="3">
        <v>288</v>
      </c>
      <c r="V10" s="3">
        <v>276</v>
      </c>
      <c r="W10" s="3">
        <v>288</v>
      </c>
      <c r="X10" s="3">
        <v>828</v>
      </c>
      <c r="Y10" s="3">
        <v>598</v>
      </c>
      <c r="Z10" s="3">
        <v>548</v>
      </c>
      <c r="AA10" s="3">
        <v>598</v>
      </c>
      <c r="AB10" s="3">
        <v>568</v>
      </c>
      <c r="AC10" s="3">
        <v>598</v>
      </c>
      <c r="AD10" s="5">
        <v>380</v>
      </c>
      <c r="AE10" s="5">
        <v>288</v>
      </c>
      <c r="AF10" s="5">
        <v>268</v>
      </c>
      <c r="AG10" s="5">
        <v>288</v>
      </c>
      <c r="AH10" s="5">
        <v>276</v>
      </c>
      <c r="AI10" s="5">
        <v>288</v>
      </c>
      <c r="AJ10" s="3">
        <v>702</v>
      </c>
      <c r="AK10" s="3">
        <v>552</v>
      </c>
      <c r="AL10" s="3">
        <v>518</v>
      </c>
      <c r="AM10" s="3">
        <v>552</v>
      </c>
      <c r="AN10" s="3">
        <v>532</v>
      </c>
      <c r="AO10" s="3">
        <v>552</v>
      </c>
    </row>
    <row r="11" spans="3:41" x14ac:dyDescent="0.35">
      <c r="C11" s="1">
        <v>2</v>
      </c>
      <c r="D11" s="1" t="s">
        <v>138</v>
      </c>
      <c r="E11" s="1">
        <v>1</v>
      </c>
      <c r="F11" s="3">
        <v>186</v>
      </c>
      <c r="G11" s="3">
        <v>143</v>
      </c>
      <c r="H11" s="3">
        <v>122</v>
      </c>
      <c r="I11" s="3">
        <v>143</v>
      </c>
      <c r="J11" s="3">
        <v>130</v>
      </c>
      <c r="K11" s="3">
        <v>143</v>
      </c>
      <c r="L11" s="40">
        <v>135</v>
      </c>
      <c r="M11" s="40">
        <v>104</v>
      </c>
      <c r="N11" s="40">
        <v>88</v>
      </c>
      <c r="O11" s="40">
        <v>104</v>
      </c>
      <c r="P11" s="40">
        <v>94</v>
      </c>
      <c r="Q11" s="40">
        <v>104</v>
      </c>
      <c r="R11" s="3">
        <v>186</v>
      </c>
      <c r="S11" s="3">
        <v>143</v>
      </c>
      <c r="T11" s="3">
        <v>122</v>
      </c>
      <c r="U11" s="3">
        <v>143</v>
      </c>
      <c r="V11" s="3">
        <v>130</v>
      </c>
      <c r="W11" s="3">
        <v>143</v>
      </c>
      <c r="X11" s="3">
        <v>284</v>
      </c>
      <c r="Y11" s="3">
        <v>219</v>
      </c>
      <c r="Z11" s="3">
        <v>186</v>
      </c>
      <c r="AA11" s="3">
        <v>219</v>
      </c>
      <c r="AB11" s="3">
        <v>199</v>
      </c>
      <c r="AC11" s="3">
        <v>219</v>
      </c>
      <c r="AD11" s="5">
        <v>186</v>
      </c>
      <c r="AE11" s="5">
        <v>143</v>
      </c>
      <c r="AF11" s="5">
        <v>122</v>
      </c>
      <c r="AG11" s="5">
        <v>143</v>
      </c>
      <c r="AH11" s="5">
        <v>130</v>
      </c>
      <c r="AI11" s="5">
        <v>143</v>
      </c>
      <c r="AJ11" s="3">
        <v>330</v>
      </c>
      <c r="AK11" s="3">
        <v>265</v>
      </c>
      <c r="AL11" s="3">
        <v>232</v>
      </c>
      <c r="AM11" s="3">
        <v>265</v>
      </c>
      <c r="AN11" s="3">
        <v>245</v>
      </c>
      <c r="AO11" s="3">
        <v>265</v>
      </c>
    </row>
    <row r="12" spans="3:41" x14ac:dyDescent="0.35">
      <c r="C12" s="1">
        <v>3</v>
      </c>
      <c r="D12" s="1" t="s">
        <v>126</v>
      </c>
      <c r="E12" s="1">
        <v>1</v>
      </c>
      <c r="F12" s="3">
        <v>258</v>
      </c>
      <c r="G12" s="3">
        <v>199</v>
      </c>
      <c r="H12" s="3">
        <v>169</v>
      </c>
      <c r="I12" s="3">
        <v>199</v>
      </c>
      <c r="J12" s="3">
        <v>181</v>
      </c>
      <c r="K12" s="3">
        <v>199</v>
      </c>
      <c r="L12" s="40">
        <v>222</v>
      </c>
      <c r="M12" s="40">
        <v>172</v>
      </c>
      <c r="N12" s="40">
        <v>146</v>
      </c>
      <c r="O12" s="40">
        <v>172</v>
      </c>
      <c r="P12" s="40">
        <v>156</v>
      </c>
      <c r="Q12" s="40">
        <v>172</v>
      </c>
      <c r="R12" s="3">
        <v>258</v>
      </c>
      <c r="S12" s="3">
        <v>199</v>
      </c>
      <c r="T12" s="3">
        <v>169</v>
      </c>
      <c r="U12" s="3">
        <v>199</v>
      </c>
      <c r="V12" s="3">
        <v>181</v>
      </c>
      <c r="W12" s="3">
        <v>199</v>
      </c>
      <c r="X12" s="3">
        <v>339</v>
      </c>
      <c r="Y12" s="3">
        <v>261</v>
      </c>
      <c r="Z12" s="3">
        <v>222</v>
      </c>
      <c r="AA12" s="3">
        <v>261</v>
      </c>
      <c r="AB12" s="3">
        <v>238</v>
      </c>
      <c r="AC12" s="3">
        <v>261</v>
      </c>
      <c r="AD12" s="5">
        <v>258</v>
      </c>
      <c r="AE12" s="5">
        <v>199</v>
      </c>
      <c r="AF12" s="5">
        <v>169</v>
      </c>
      <c r="AG12" s="5">
        <v>199</v>
      </c>
      <c r="AH12" s="5">
        <v>181</v>
      </c>
      <c r="AI12" s="5">
        <v>199</v>
      </c>
      <c r="AJ12" s="3">
        <v>385</v>
      </c>
      <c r="AK12" s="3">
        <v>307</v>
      </c>
      <c r="AL12" s="3">
        <v>268</v>
      </c>
      <c r="AM12" s="3">
        <v>307</v>
      </c>
      <c r="AN12" s="3">
        <v>284</v>
      </c>
      <c r="AO12" s="3">
        <v>307</v>
      </c>
    </row>
    <row r="13" spans="3:41" x14ac:dyDescent="0.35">
      <c r="C13" s="1">
        <v>4</v>
      </c>
      <c r="D13" s="1" t="s">
        <v>13</v>
      </c>
      <c r="E13" s="1">
        <v>1</v>
      </c>
      <c r="F13" s="3">
        <v>271</v>
      </c>
      <c r="G13" s="3">
        <v>182</v>
      </c>
      <c r="H13" s="3">
        <v>183</v>
      </c>
      <c r="I13" s="3">
        <v>182</v>
      </c>
      <c r="J13" s="3">
        <v>182</v>
      </c>
      <c r="K13" s="3">
        <v>182</v>
      </c>
      <c r="L13" s="40">
        <v>225</v>
      </c>
      <c r="M13" s="40">
        <v>150</v>
      </c>
      <c r="N13" s="40">
        <v>150</v>
      </c>
      <c r="O13" s="40">
        <v>150</v>
      </c>
      <c r="P13" s="40">
        <v>150</v>
      </c>
      <c r="Q13" s="40">
        <v>150</v>
      </c>
      <c r="R13" s="3">
        <v>345</v>
      </c>
      <c r="S13" s="3">
        <v>233</v>
      </c>
      <c r="T13" s="3">
        <v>234</v>
      </c>
      <c r="U13" s="3">
        <v>233</v>
      </c>
      <c r="V13" s="3">
        <v>234</v>
      </c>
      <c r="W13" s="3">
        <v>233</v>
      </c>
      <c r="X13" s="3">
        <v>345</v>
      </c>
      <c r="Y13" s="3">
        <v>233</v>
      </c>
      <c r="Z13" s="3">
        <v>234</v>
      </c>
      <c r="AA13" s="3">
        <v>233</v>
      </c>
      <c r="AB13" s="3">
        <v>234</v>
      </c>
      <c r="AC13" s="3">
        <v>233</v>
      </c>
      <c r="AD13" s="5">
        <v>271</v>
      </c>
      <c r="AE13" s="5">
        <v>182</v>
      </c>
      <c r="AF13" s="5">
        <v>183</v>
      </c>
      <c r="AG13" s="5">
        <v>182</v>
      </c>
      <c r="AH13" s="5">
        <v>182</v>
      </c>
      <c r="AI13" s="38">
        <v>182</v>
      </c>
      <c r="AJ13" s="3">
        <v>345</v>
      </c>
      <c r="AK13" s="3">
        <v>233</v>
      </c>
      <c r="AL13" s="3">
        <v>234</v>
      </c>
      <c r="AM13" s="3">
        <v>233</v>
      </c>
      <c r="AN13" s="3">
        <v>234</v>
      </c>
      <c r="AO13" s="20">
        <v>233</v>
      </c>
    </row>
    <row r="14" spans="3:41" x14ac:dyDescent="0.35">
      <c r="C14" s="1">
        <v>5</v>
      </c>
      <c r="D14" s="1" t="s">
        <v>139</v>
      </c>
      <c r="E14" s="1">
        <v>1</v>
      </c>
      <c r="F14" s="3">
        <v>263</v>
      </c>
      <c r="G14" s="3">
        <v>175</v>
      </c>
      <c r="H14" s="3">
        <v>204</v>
      </c>
      <c r="I14" s="3">
        <v>175</v>
      </c>
      <c r="J14" s="3">
        <v>193</v>
      </c>
      <c r="K14" s="3">
        <v>175</v>
      </c>
      <c r="L14" s="40">
        <v>140</v>
      </c>
      <c r="M14" s="40">
        <v>140</v>
      </c>
      <c r="N14" s="40">
        <v>140</v>
      </c>
      <c r="O14" s="40">
        <v>140</v>
      </c>
      <c r="P14" s="40">
        <v>140</v>
      </c>
      <c r="Q14" s="40">
        <v>140</v>
      </c>
      <c r="R14" s="5">
        <v>140</v>
      </c>
      <c r="S14" s="5">
        <v>140</v>
      </c>
      <c r="T14" s="5">
        <v>140</v>
      </c>
      <c r="U14" s="5">
        <v>140</v>
      </c>
      <c r="V14" s="5">
        <v>140</v>
      </c>
      <c r="W14" s="5">
        <v>140</v>
      </c>
      <c r="X14" s="3">
        <v>263</v>
      </c>
      <c r="Y14" s="3">
        <v>175</v>
      </c>
      <c r="Z14" s="3">
        <v>204</v>
      </c>
      <c r="AA14" s="3">
        <v>175</v>
      </c>
      <c r="AB14" s="3">
        <v>193</v>
      </c>
      <c r="AC14" s="3">
        <v>175</v>
      </c>
      <c r="AD14" s="5">
        <v>263</v>
      </c>
      <c r="AE14" s="5">
        <v>175</v>
      </c>
      <c r="AF14" s="5">
        <v>204</v>
      </c>
      <c r="AG14" s="5">
        <v>175</v>
      </c>
      <c r="AH14" s="5">
        <v>193</v>
      </c>
      <c r="AI14" s="5">
        <v>175</v>
      </c>
      <c r="AJ14" s="3">
        <v>309</v>
      </c>
      <c r="AK14" s="3">
        <v>221</v>
      </c>
      <c r="AL14" s="3">
        <v>250</v>
      </c>
      <c r="AM14" s="3">
        <v>221</v>
      </c>
      <c r="AN14" s="3">
        <v>239</v>
      </c>
      <c r="AO14" s="3">
        <v>221</v>
      </c>
    </row>
    <row r="15" spans="3:41" x14ac:dyDescent="0.35">
      <c r="C15" s="1">
        <v>6</v>
      </c>
      <c r="D15" s="1" t="s">
        <v>101</v>
      </c>
      <c r="E15" s="1">
        <v>1</v>
      </c>
      <c r="F15" s="3">
        <v>213</v>
      </c>
      <c r="G15" s="3">
        <v>142</v>
      </c>
      <c r="H15" s="3">
        <v>138</v>
      </c>
      <c r="I15" s="3">
        <v>142</v>
      </c>
      <c r="J15" s="3">
        <v>140</v>
      </c>
      <c r="K15" s="3">
        <v>142</v>
      </c>
      <c r="L15" s="40">
        <v>112</v>
      </c>
      <c r="M15" s="40">
        <v>112</v>
      </c>
      <c r="N15" s="40">
        <v>112</v>
      </c>
      <c r="O15" s="40">
        <v>112</v>
      </c>
      <c r="P15" s="40">
        <v>112</v>
      </c>
      <c r="Q15" s="40">
        <v>112</v>
      </c>
      <c r="R15" s="3">
        <v>213</v>
      </c>
      <c r="S15" s="3">
        <v>142</v>
      </c>
      <c r="T15" s="3">
        <v>138</v>
      </c>
      <c r="U15" s="3">
        <v>142</v>
      </c>
      <c r="V15" s="3">
        <v>140</v>
      </c>
      <c r="W15" s="3">
        <v>142</v>
      </c>
      <c r="X15" s="3">
        <v>213</v>
      </c>
      <c r="Y15" s="3">
        <v>142</v>
      </c>
      <c r="Z15" s="3">
        <v>138</v>
      </c>
      <c r="AA15" s="3">
        <v>142</v>
      </c>
      <c r="AB15" s="3">
        <v>140</v>
      </c>
      <c r="AC15" s="3">
        <v>142</v>
      </c>
      <c r="AD15" s="39">
        <v>213</v>
      </c>
      <c r="AE15" s="39">
        <v>142</v>
      </c>
      <c r="AF15" s="39">
        <v>138</v>
      </c>
      <c r="AG15" s="39">
        <v>142</v>
      </c>
      <c r="AH15" s="39">
        <v>140</v>
      </c>
      <c r="AI15" s="39">
        <v>142</v>
      </c>
      <c r="AJ15" s="3">
        <v>233</v>
      </c>
      <c r="AK15" s="3">
        <v>162</v>
      </c>
      <c r="AL15" s="3">
        <v>158</v>
      </c>
      <c r="AM15" s="3">
        <v>162</v>
      </c>
      <c r="AN15" s="3">
        <v>160</v>
      </c>
      <c r="AO15" s="3">
        <v>162</v>
      </c>
    </row>
    <row r="16" spans="3:41" x14ac:dyDescent="0.35">
      <c r="C16" s="1"/>
      <c r="D16" s="12" t="s">
        <v>103</v>
      </c>
      <c r="E16" s="1"/>
      <c r="F16" s="3">
        <f t="shared" ref="F16:AI16" si="0">SUM(F10:F15)</f>
        <v>1571</v>
      </c>
      <c r="G16" s="3">
        <f t="shared" si="0"/>
        <v>1129</v>
      </c>
      <c r="H16" s="3">
        <f t="shared" si="0"/>
        <v>1084</v>
      </c>
      <c r="I16" s="3">
        <f t="shared" si="0"/>
        <v>1129</v>
      </c>
      <c r="J16" s="3">
        <f t="shared" si="0"/>
        <v>1102</v>
      </c>
      <c r="K16" s="3">
        <f t="shared" si="0"/>
        <v>1129</v>
      </c>
      <c r="L16" s="40">
        <f t="shared" si="0"/>
        <v>1214</v>
      </c>
      <c r="M16" s="40">
        <f t="shared" si="0"/>
        <v>966</v>
      </c>
      <c r="N16" s="40">
        <f t="shared" si="0"/>
        <v>904</v>
      </c>
      <c r="O16" s="40">
        <f t="shared" si="0"/>
        <v>966</v>
      </c>
      <c r="P16" s="40">
        <f t="shared" si="0"/>
        <v>928</v>
      </c>
      <c r="Q16" s="40">
        <f t="shared" si="0"/>
        <v>966</v>
      </c>
      <c r="R16" s="3">
        <f t="shared" si="0"/>
        <v>1522</v>
      </c>
      <c r="S16" s="3">
        <f t="shared" si="0"/>
        <v>1145</v>
      </c>
      <c r="T16" s="3">
        <f t="shared" si="0"/>
        <v>1071</v>
      </c>
      <c r="U16" s="3">
        <f t="shared" si="0"/>
        <v>1145</v>
      </c>
      <c r="V16" s="3">
        <f t="shared" si="0"/>
        <v>1101</v>
      </c>
      <c r="W16" s="3">
        <f t="shared" si="0"/>
        <v>1145</v>
      </c>
      <c r="X16" s="3">
        <f t="shared" si="0"/>
        <v>2272</v>
      </c>
      <c r="Y16" s="3">
        <f t="shared" si="0"/>
        <v>1628</v>
      </c>
      <c r="Z16" s="3">
        <f t="shared" si="0"/>
        <v>1532</v>
      </c>
      <c r="AA16" s="3">
        <f t="shared" si="0"/>
        <v>1628</v>
      </c>
      <c r="AB16" s="3">
        <f t="shared" si="0"/>
        <v>1572</v>
      </c>
      <c r="AC16" s="3">
        <f t="shared" si="0"/>
        <v>1628</v>
      </c>
      <c r="AD16" s="5">
        <f t="shared" si="0"/>
        <v>1571</v>
      </c>
      <c r="AE16" s="5">
        <f t="shared" si="0"/>
        <v>1129</v>
      </c>
      <c r="AF16" s="5">
        <f t="shared" si="0"/>
        <v>1084</v>
      </c>
      <c r="AG16" s="5">
        <f t="shared" si="0"/>
        <v>1129</v>
      </c>
      <c r="AH16" s="5">
        <f t="shared" si="0"/>
        <v>1102</v>
      </c>
      <c r="AI16" s="5">
        <f t="shared" si="0"/>
        <v>1129</v>
      </c>
      <c r="AJ16" s="3">
        <f>SUM(AJ10:AJ15)</f>
        <v>2304</v>
      </c>
      <c r="AK16" s="3">
        <f>SUM(AK10:AK15)</f>
        <v>1740</v>
      </c>
      <c r="AL16" s="3">
        <f>SUM(AL10:AL15)</f>
        <v>1660</v>
      </c>
      <c r="AM16" s="3">
        <f>SUM(AM10:AM15)</f>
        <v>1740</v>
      </c>
      <c r="AN16" s="3">
        <f>SUM(AN10:AN15)</f>
        <v>1694</v>
      </c>
      <c r="AO16" s="3">
        <f>SUM(AO10:AO15)</f>
        <v>1740</v>
      </c>
    </row>
    <row r="17" spans="3:41" x14ac:dyDescent="0.35">
      <c r="C17" s="1"/>
      <c r="D17" s="12" t="s">
        <v>15</v>
      </c>
      <c r="E17" s="1"/>
      <c r="F17" s="13">
        <v>2618</v>
      </c>
      <c r="G17" s="13">
        <v>1608</v>
      </c>
      <c r="H17" s="13">
        <v>1278</v>
      </c>
      <c r="I17" s="13">
        <v>1103</v>
      </c>
      <c r="J17" s="13">
        <v>1003</v>
      </c>
      <c r="K17" s="13">
        <v>938</v>
      </c>
      <c r="L17" s="13">
        <v>2618</v>
      </c>
      <c r="M17" s="13">
        <v>1608</v>
      </c>
      <c r="N17" s="13">
        <v>1278</v>
      </c>
      <c r="O17" s="13">
        <v>1103</v>
      </c>
      <c r="P17" s="13">
        <v>1003</v>
      </c>
      <c r="Q17" s="13">
        <v>938</v>
      </c>
      <c r="R17" s="13">
        <v>2618</v>
      </c>
      <c r="S17" s="13">
        <v>1608</v>
      </c>
      <c r="T17" s="13">
        <v>1278</v>
      </c>
      <c r="U17" s="13">
        <v>1103</v>
      </c>
      <c r="V17" s="13">
        <v>1003</v>
      </c>
      <c r="W17" s="13">
        <v>938</v>
      </c>
      <c r="X17" s="13">
        <v>2818</v>
      </c>
      <c r="Y17" s="13">
        <v>1808</v>
      </c>
      <c r="Z17" s="13">
        <v>1478</v>
      </c>
      <c r="AA17" s="13">
        <v>1303</v>
      </c>
      <c r="AB17" s="13">
        <v>1203</v>
      </c>
      <c r="AC17" s="13">
        <v>1138</v>
      </c>
      <c r="AD17" s="13">
        <v>2818</v>
      </c>
      <c r="AE17" s="13">
        <v>1808</v>
      </c>
      <c r="AF17" s="13">
        <v>1478</v>
      </c>
      <c r="AG17" s="13">
        <v>1303</v>
      </c>
      <c r="AH17" s="13">
        <v>1203</v>
      </c>
      <c r="AI17" s="13">
        <v>1138</v>
      </c>
      <c r="AJ17" s="13">
        <v>2818</v>
      </c>
      <c r="AK17" s="13">
        <v>1808</v>
      </c>
      <c r="AL17" s="13">
        <v>1478</v>
      </c>
      <c r="AM17" s="13">
        <v>1303</v>
      </c>
      <c r="AN17" s="13">
        <v>1203</v>
      </c>
      <c r="AO17" s="13">
        <v>1138</v>
      </c>
    </row>
    <row r="18" spans="3:41" x14ac:dyDescent="0.35">
      <c r="C18" s="1"/>
      <c r="D18" s="14" t="s">
        <v>14</v>
      </c>
      <c r="E18" s="1"/>
      <c r="F18" s="13">
        <f t="shared" ref="F18:AO18" si="1">SUM(F16:F17)</f>
        <v>4189</v>
      </c>
      <c r="G18" s="13">
        <f t="shared" si="1"/>
        <v>2737</v>
      </c>
      <c r="H18" s="13">
        <f t="shared" si="1"/>
        <v>2362</v>
      </c>
      <c r="I18" s="13">
        <f t="shared" si="1"/>
        <v>2232</v>
      </c>
      <c r="J18" s="13">
        <f t="shared" si="1"/>
        <v>2105</v>
      </c>
      <c r="K18" s="13">
        <f t="shared" si="1"/>
        <v>2067</v>
      </c>
      <c r="L18" s="13">
        <f t="shared" si="1"/>
        <v>3832</v>
      </c>
      <c r="M18" s="13">
        <f t="shared" si="1"/>
        <v>2574</v>
      </c>
      <c r="N18" s="13">
        <f t="shared" si="1"/>
        <v>2182</v>
      </c>
      <c r="O18" s="13">
        <f t="shared" si="1"/>
        <v>2069</v>
      </c>
      <c r="P18" s="13">
        <f t="shared" si="1"/>
        <v>1931</v>
      </c>
      <c r="Q18" s="13">
        <f t="shared" si="1"/>
        <v>1904</v>
      </c>
      <c r="R18" s="13">
        <f t="shared" si="1"/>
        <v>4140</v>
      </c>
      <c r="S18" s="13">
        <f t="shared" si="1"/>
        <v>2753</v>
      </c>
      <c r="T18" s="13">
        <f t="shared" si="1"/>
        <v>2349</v>
      </c>
      <c r="U18" s="13">
        <f t="shared" si="1"/>
        <v>2248</v>
      </c>
      <c r="V18" s="13">
        <f t="shared" si="1"/>
        <v>2104</v>
      </c>
      <c r="W18" s="13">
        <f t="shared" si="1"/>
        <v>2083</v>
      </c>
      <c r="X18" s="13">
        <f t="shared" si="1"/>
        <v>5090</v>
      </c>
      <c r="Y18" s="13">
        <f t="shared" si="1"/>
        <v>3436</v>
      </c>
      <c r="Z18" s="13">
        <f t="shared" si="1"/>
        <v>3010</v>
      </c>
      <c r="AA18" s="13">
        <f t="shared" si="1"/>
        <v>2931</v>
      </c>
      <c r="AB18" s="13">
        <f t="shared" si="1"/>
        <v>2775</v>
      </c>
      <c r="AC18" s="13">
        <f t="shared" si="1"/>
        <v>2766</v>
      </c>
      <c r="AD18" s="13">
        <f t="shared" si="1"/>
        <v>4389</v>
      </c>
      <c r="AE18" s="13">
        <f t="shared" si="1"/>
        <v>2937</v>
      </c>
      <c r="AF18" s="13">
        <f t="shared" si="1"/>
        <v>2562</v>
      </c>
      <c r="AG18" s="13">
        <f t="shared" si="1"/>
        <v>2432</v>
      </c>
      <c r="AH18" s="13">
        <f t="shared" si="1"/>
        <v>2305</v>
      </c>
      <c r="AI18" s="3">
        <f t="shared" si="1"/>
        <v>2267</v>
      </c>
      <c r="AJ18" s="13">
        <f t="shared" si="1"/>
        <v>5122</v>
      </c>
      <c r="AK18" s="13">
        <f t="shared" si="1"/>
        <v>3548</v>
      </c>
      <c r="AL18" s="13">
        <f t="shared" si="1"/>
        <v>3138</v>
      </c>
      <c r="AM18" s="13">
        <f t="shared" si="1"/>
        <v>3043</v>
      </c>
      <c r="AN18" s="13">
        <f t="shared" si="1"/>
        <v>2897</v>
      </c>
      <c r="AO18" s="13">
        <f t="shared" si="1"/>
        <v>2878</v>
      </c>
    </row>
    <row r="19" spans="3:41" x14ac:dyDescent="0.35">
      <c r="D19" s="15"/>
    </row>
    <row r="20" spans="3:41" x14ac:dyDescent="0.35">
      <c r="F20" s="16" t="s">
        <v>16</v>
      </c>
    </row>
    <row r="21" spans="3:41" x14ac:dyDescent="0.35">
      <c r="D21" s="16" t="s">
        <v>17</v>
      </c>
      <c r="Q21" s="16" t="s">
        <v>18</v>
      </c>
      <c r="R21" s="16"/>
      <c r="X21" s="16"/>
    </row>
    <row r="22" spans="3:41" x14ac:dyDescent="0.35">
      <c r="C22" s="1" t="s">
        <v>10</v>
      </c>
      <c r="D22" s="1" t="s">
        <v>19</v>
      </c>
      <c r="E22" s="1">
        <v>1</v>
      </c>
      <c r="F22" s="1">
        <v>2</v>
      </c>
      <c r="G22" s="1">
        <v>3</v>
      </c>
      <c r="H22" s="1">
        <v>4</v>
      </c>
      <c r="I22" s="1">
        <v>5</v>
      </c>
      <c r="J22" s="1">
        <v>6</v>
      </c>
      <c r="P22" s="1" t="s">
        <v>10</v>
      </c>
      <c r="Q22" s="1" t="s">
        <v>19</v>
      </c>
      <c r="R22" s="1"/>
      <c r="S22" s="1"/>
      <c r="T22" s="1"/>
      <c r="U22" s="1"/>
      <c r="V22" s="1"/>
      <c r="W22" s="1"/>
    </row>
    <row r="23" spans="3:41" x14ac:dyDescent="0.35">
      <c r="C23" s="1">
        <v>1</v>
      </c>
      <c r="D23" s="1" t="s">
        <v>20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P23" s="1">
        <v>1</v>
      </c>
      <c r="Q23" s="1" t="s">
        <v>104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AE23" t="s">
        <v>105</v>
      </c>
    </row>
    <row r="24" spans="3:41" x14ac:dyDescent="0.35">
      <c r="C24" s="1">
        <v>2</v>
      </c>
      <c r="D24" s="1" t="s">
        <v>140</v>
      </c>
      <c r="E24" s="1">
        <v>2000</v>
      </c>
      <c r="F24" s="1">
        <v>1000</v>
      </c>
      <c r="G24" s="1">
        <v>670</v>
      </c>
      <c r="H24" s="1">
        <v>500</v>
      </c>
      <c r="I24" s="1">
        <v>400</v>
      </c>
      <c r="J24" s="1">
        <v>335</v>
      </c>
      <c r="P24" s="1">
        <v>2</v>
      </c>
      <c r="Q24" s="1" t="s">
        <v>140</v>
      </c>
      <c r="R24" s="1">
        <v>2000</v>
      </c>
      <c r="S24" s="1">
        <v>1000</v>
      </c>
      <c r="T24" s="1">
        <v>670</v>
      </c>
      <c r="U24" s="1">
        <v>500</v>
      </c>
      <c r="V24" s="1">
        <v>400</v>
      </c>
      <c r="W24" s="1">
        <v>335</v>
      </c>
    </row>
    <row r="25" spans="3:41" x14ac:dyDescent="0.35">
      <c r="C25" s="1">
        <v>3</v>
      </c>
      <c r="D25" s="1" t="s">
        <v>142</v>
      </c>
      <c r="E25" s="1">
        <v>40</v>
      </c>
      <c r="F25" s="1">
        <v>40</v>
      </c>
      <c r="G25" s="1">
        <v>40</v>
      </c>
      <c r="H25" s="1">
        <v>40</v>
      </c>
      <c r="I25" s="1">
        <v>40</v>
      </c>
      <c r="J25" s="1">
        <v>40</v>
      </c>
      <c r="P25" s="1"/>
      <c r="Q25" s="1" t="s">
        <v>142</v>
      </c>
      <c r="R25" s="1">
        <v>40</v>
      </c>
      <c r="S25" s="1">
        <v>40</v>
      </c>
      <c r="T25" s="1">
        <v>40</v>
      </c>
      <c r="U25" s="1">
        <v>40</v>
      </c>
      <c r="V25" s="1">
        <v>40</v>
      </c>
      <c r="W25" s="1">
        <v>40</v>
      </c>
    </row>
    <row r="26" spans="3:41" x14ac:dyDescent="0.35">
      <c r="C26" s="1">
        <v>4</v>
      </c>
      <c r="D26" s="1" t="s">
        <v>106</v>
      </c>
      <c r="E26" s="1">
        <v>80</v>
      </c>
      <c r="F26" s="1">
        <v>80</v>
      </c>
      <c r="G26" s="1">
        <v>80</v>
      </c>
      <c r="H26" s="1">
        <v>80</v>
      </c>
      <c r="I26" s="1">
        <v>80</v>
      </c>
      <c r="J26" s="1">
        <v>80</v>
      </c>
      <c r="P26" s="1"/>
      <c r="Q26" s="1" t="s">
        <v>106</v>
      </c>
      <c r="R26" s="1">
        <v>80</v>
      </c>
      <c r="S26" s="1">
        <v>80</v>
      </c>
      <c r="T26" s="1">
        <v>80</v>
      </c>
      <c r="U26" s="1">
        <v>80</v>
      </c>
      <c r="V26" s="1">
        <v>80</v>
      </c>
      <c r="W26" s="1">
        <v>80</v>
      </c>
    </row>
    <row r="27" spans="3:41" x14ac:dyDescent="0.35">
      <c r="C27" s="1">
        <v>5</v>
      </c>
      <c r="D27" s="1" t="s">
        <v>143</v>
      </c>
      <c r="E27" s="1">
        <v>200</v>
      </c>
      <c r="F27" s="1">
        <v>200</v>
      </c>
      <c r="G27" s="1">
        <v>200</v>
      </c>
      <c r="H27" s="1">
        <v>200</v>
      </c>
      <c r="I27" s="1">
        <v>200</v>
      </c>
      <c r="J27" s="1">
        <v>200</v>
      </c>
      <c r="P27" s="1"/>
      <c r="Q27" s="1" t="s">
        <v>143</v>
      </c>
      <c r="R27" s="1">
        <v>400</v>
      </c>
      <c r="S27" s="1">
        <v>400</v>
      </c>
      <c r="T27" s="1">
        <v>400</v>
      </c>
      <c r="U27" s="1">
        <v>400</v>
      </c>
      <c r="V27" s="1">
        <v>400</v>
      </c>
      <c r="W27" s="1">
        <v>400</v>
      </c>
    </row>
    <row r="28" spans="3:41" x14ac:dyDescent="0.35">
      <c r="C28" s="1">
        <v>6</v>
      </c>
      <c r="D28" s="1" t="s">
        <v>144</v>
      </c>
      <c r="E28" s="29">
        <v>90</v>
      </c>
      <c r="F28" s="29">
        <v>90</v>
      </c>
      <c r="G28" s="29">
        <v>90</v>
      </c>
      <c r="H28" s="29">
        <v>90</v>
      </c>
      <c r="I28" s="29">
        <v>90</v>
      </c>
      <c r="J28" s="29">
        <v>90</v>
      </c>
      <c r="P28" s="1"/>
      <c r="Q28" s="1" t="s">
        <v>144</v>
      </c>
      <c r="R28" s="29">
        <v>90</v>
      </c>
      <c r="S28" s="29">
        <v>90</v>
      </c>
      <c r="T28" s="29">
        <v>90</v>
      </c>
      <c r="U28" s="29">
        <v>90</v>
      </c>
      <c r="V28" s="29">
        <v>90</v>
      </c>
      <c r="W28" s="29">
        <v>90</v>
      </c>
    </row>
    <row r="29" spans="3:41" x14ac:dyDescent="0.35">
      <c r="C29" s="1">
        <v>7</v>
      </c>
      <c r="D29" s="1" t="s">
        <v>145</v>
      </c>
      <c r="E29" s="1">
        <v>30</v>
      </c>
      <c r="F29" s="1">
        <v>20</v>
      </c>
      <c r="G29" s="1">
        <v>20</v>
      </c>
      <c r="H29" s="1">
        <v>15</v>
      </c>
      <c r="I29" s="1">
        <v>15</v>
      </c>
      <c r="J29" s="1">
        <v>15</v>
      </c>
      <c r="P29" s="1"/>
      <c r="Q29" s="1" t="s">
        <v>145</v>
      </c>
      <c r="R29" s="1">
        <v>30</v>
      </c>
      <c r="S29" s="1">
        <v>20</v>
      </c>
      <c r="T29" s="1">
        <v>20</v>
      </c>
      <c r="U29" s="1">
        <v>15</v>
      </c>
      <c r="V29" s="1">
        <v>15</v>
      </c>
      <c r="W29" s="1">
        <v>15</v>
      </c>
    </row>
    <row r="30" spans="3:41" x14ac:dyDescent="0.35">
      <c r="C30" s="1">
        <v>8</v>
      </c>
      <c r="D30" s="1" t="s">
        <v>146</v>
      </c>
      <c r="E30" s="1">
        <v>33</v>
      </c>
      <c r="F30" s="1">
        <v>33</v>
      </c>
      <c r="G30" s="1">
        <v>33</v>
      </c>
      <c r="H30" s="1">
        <v>33</v>
      </c>
      <c r="I30" s="1">
        <v>33</v>
      </c>
      <c r="J30" s="1">
        <v>33</v>
      </c>
      <c r="P30" s="1"/>
      <c r="Q30" s="1" t="s">
        <v>146</v>
      </c>
      <c r="R30" s="1">
        <v>33</v>
      </c>
      <c r="S30" s="1">
        <v>33</v>
      </c>
      <c r="T30" s="1">
        <v>33</v>
      </c>
      <c r="U30" s="1">
        <v>33</v>
      </c>
      <c r="V30" s="1">
        <v>33</v>
      </c>
      <c r="W30" s="1">
        <v>33</v>
      </c>
    </row>
    <row r="31" spans="3:41" x14ac:dyDescent="0.35">
      <c r="C31" s="1">
        <v>9</v>
      </c>
      <c r="D31" s="1" t="s">
        <v>147</v>
      </c>
      <c r="E31" s="1">
        <v>35</v>
      </c>
      <c r="F31" s="1">
        <v>35</v>
      </c>
      <c r="G31" s="1">
        <v>35</v>
      </c>
      <c r="H31" s="1">
        <v>35</v>
      </c>
      <c r="I31" s="1">
        <v>35</v>
      </c>
      <c r="J31" s="1">
        <v>35</v>
      </c>
      <c r="P31" s="1"/>
      <c r="Q31" s="1" t="s">
        <v>147</v>
      </c>
      <c r="R31" s="1">
        <v>35</v>
      </c>
      <c r="S31" s="1">
        <v>35</v>
      </c>
      <c r="T31" s="1">
        <v>35</v>
      </c>
      <c r="U31" s="1">
        <v>35</v>
      </c>
      <c r="V31" s="1">
        <v>35</v>
      </c>
      <c r="W31" s="1">
        <v>35</v>
      </c>
    </row>
    <row r="32" spans="3:41" x14ac:dyDescent="0.35">
      <c r="C32" s="1"/>
      <c r="D32" s="1" t="s">
        <v>148</v>
      </c>
      <c r="E32" s="1">
        <v>20</v>
      </c>
      <c r="F32" s="1">
        <v>20</v>
      </c>
      <c r="G32" s="1">
        <v>20</v>
      </c>
      <c r="H32" s="1">
        <v>20</v>
      </c>
      <c r="I32" s="1">
        <v>20</v>
      </c>
      <c r="J32" s="1">
        <v>20</v>
      </c>
      <c r="P32" s="1"/>
      <c r="Q32" s="1" t="s">
        <v>148</v>
      </c>
      <c r="R32" s="1">
        <v>20</v>
      </c>
      <c r="S32" s="1">
        <v>20</v>
      </c>
      <c r="T32" s="1">
        <v>20</v>
      </c>
      <c r="U32" s="1">
        <v>20</v>
      </c>
      <c r="V32" s="1">
        <v>20</v>
      </c>
      <c r="W32" s="1">
        <v>20</v>
      </c>
    </row>
    <row r="33" spans="3:23" x14ac:dyDescent="0.35">
      <c r="C33" s="1"/>
      <c r="D33" s="12" t="s">
        <v>14</v>
      </c>
      <c r="E33" s="13">
        <f t="shared" ref="E33:J33" si="2">SUM(E23:E32)</f>
        <v>2618</v>
      </c>
      <c r="F33" s="13">
        <f t="shared" si="2"/>
        <v>1608</v>
      </c>
      <c r="G33" s="13">
        <f t="shared" si="2"/>
        <v>1278</v>
      </c>
      <c r="H33" s="13">
        <f t="shared" si="2"/>
        <v>1103</v>
      </c>
      <c r="I33" s="13">
        <f t="shared" si="2"/>
        <v>1003</v>
      </c>
      <c r="J33" s="13">
        <f t="shared" si="2"/>
        <v>938</v>
      </c>
      <c r="P33" s="1"/>
      <c r="Q33" s="12" t="s">
        <v>14</v>
      </c>
      <c r="R33" s="18">
        <f t="shared" ref="R33:W33" si="3">SUM(R23:R32)</f>
        <v>2818</v>
      </c>
      <c r="S33" s="18">
        <f t="shared" si="3"/>
        <v>1808</v>
      </c>
      <c r="T33" s="18">
        <f t="shared" si="3"/>
        <v>1478</v>
      </c>
      <c r="U33" s="18">
        <f t="shared" si="3"/>
        <v>1303</v>
      </c>
      <c r="V33" s="18">
        <f t="shared" si="3"/>
        <v>1203</v>
      </c>
      <c r="W33" s="18">
        <f t="shared" si="3"/>
        <v>1138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1BF5-3CC0-42F1-B46B-BA3CCC00853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Administrator</cp:lastModifiedBy>
  <dcterms:created xsi:type="dcterms:W3CDTF">2025-01-16T20:22:39Z</dcterms:created>
  <dcterms:modified xsi:type="dcterms:W3CDTF">2025-09-30T18:23:18Z</dcterms:modified>
</cp:coreProperties>
</file>